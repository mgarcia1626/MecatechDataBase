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rbautneduar-my.sharepoint.com/personal/matigarcia_frba_utn_edu_ar/Documents/Repo Nuevo/Mecatech_DataBase/MecatechDataBase/DataBase/Inputs/"/>
    </mc:Choice>
  </mc:AlternateContent>
  <xr:revisionPtr revIDLastSave="180" documentId="8_{134766E3-12E9-416F-B486-DDE58E95E13C}" xr6:coauthVersionLast="47" xr6:coauthVersionMax="47" xr10:uidLastSave="{8C35BB94-3954-4E14-ADDF-3E0E3B22B4AF}"/>
  <bookViews>
    <workbookView xWindow="-120" yWindow="-120" windowWidth="29040" windowHeight="15720" xr2:uid="{00000000-000D-0000-FFFF-FFFF00000000}"/>
  </bookViews>
  <sheets>
    <sheet name="CostoUSA" sheetId="1" r:id="rId1"/>
    <sheet name="Weights" sheetId="15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6" i="15" l="1"/>
  <c r="B287" i="15"/>
  <c r="B288" i="15"/>
  <c r="B289" i="15"/>
  <c r="B290" i="15"/>
  <c r="B291" i="15"/>
  <c r="B292" i="15"/>
  <c r="B293" i="15"/>
  <c r="B294" i="15"/>
  <c r="B295" i="15"/>
  <c r="B296" i="15"/>
  <c r="B297" i="15"/>
  <c r="B298" i="15"/>
  <c r="B299" i="15"/>
  <c r="B300" i="15"/>
  <c r="B301" i="15"/>
  <c r="B302" i="15"/>
  <c r="B303" i="15"/>
  <c r="B304" i="15"/>
  <c r="B305" i="15"/>
  <c r="B306" i="15"/>
  <c r="B307" i="15"/>
  <c r="B308" i="15"/>
  <c r="B309" i="15"/>
  <c r="B310" i="15"/>
  <c r="B311" i="15"/>
  <c r="B312" i="15"/>
  <c r="B313" i="15"/>
  <c r="B314" i="15"/>
  <c r="B315" i="15"/>
  <c r="B316" i="15"/>
  <c r="B317" i="15"/>
  <c r="B318" i="15"/>
  <c r="B319" i="15"/>
  <c r="B320" i="15"/>
  <c r="B321" i="15"/>
  <c r="B322" i="15"/>
  <c r="B323" i="15"/>
  <c r="B324" i="15"/>
  <c r="B325" i="15"/>
  <c r="B326" i="15"/>
  <c r="B327" i="15"/>
  <c r="B328" i="15"/>
  <c r="B329" i="15"/>
  <c r="B330" i="15"/>
  <c r="B331" i="15"/>
  <c r="B332" i="15"/>
  <c r="B333" i="15"/>
  <c r="B334" i="15"/>
  <c r="B335" i="15"/>
  <c r="B336" i="15"/>
  <c r="B337" i="15"/>
  <c r="B338" i="15"/>
  <c r="B339" i="15"/>
  <c r="B340" i="15"/>
  <c r="B341" i="15"/>
  <c r="B342" i="15"/>
  <c r="B343" i="15"/>
  <c r="B344" i="15"/>
  <c r="B345" i="15"/>
  <c r="B346" i="15"/>
  <c r="B347" i="15"/>
  <c r="B348" i="15"/>
  <c r="B349" i="15"/>
  <c r="B350" i="15"/>
  <c r="B351" i="15"/>
  <c r="B352" i="15"/>
  <c r="B353" i="15"/>
  <c r="B354" i="15"/>
  <c r="B355" i="15"/>
  <c r="B356" i="15"/>
  <c r="B357" i="15"/>
  <c r="B358" i="15"/>
  <c r="B359" i="15"/>
  <c r="B360" i="15"/>
  <c r="B361" i="15"/>
  <c r="B362" i="15"/>
  <c r="B363" i="15"/>
  <c r="B364" i="15"/>
  <c r="B365" i="15"/>
  <c r="B366" i="15"/>
  <c r="B367" i="15"/>
  <c r="B368" i="15"/>
  <c r="B369" i="15"/>
  <c r="B370" i="15"/>
  <c r="B371" i="15"/>
  <c r="B372" i="15"/>
  <c r="B373" i="15"/>
  <c r="B374" i="15"/>
  <c r="B375" i="15"/>
  <c r="B376" i="15"/>
  <c r="B377" i="15"/>
  <c r="B378" i="15"/>
  <c r="B379" i="15"/>
  <c r="B380" i="15"/>
  <c r="B381" i="15"/>
  <c r="B382" i="15"/>
  <c r="B383" i="15"/>
  <c r="B384" i="15"/>
  <c r="B385" i="15"/>
  <c r="B386" i="15"/>
  <c r="B387" i="15"/>
  <c r="B388" i="15"/>
  <c r="B389" i="15"/>
  <c r="B390" i="15"/>
  <c r="B391" i="15"/>
  <c r="B392" i="15"/>
  <c r="B393" i="15"/>
  <c r="B394" i="15"/>
  <c r="B395" i="15"/>
  <c r="B396" i="15"/>
  <c r="B397" i="15"/>
  <c r="B398" i="15"/>
  <c r="B399" i="15"/>
  <c r="B400" i="15"/>
  <c r="B401" i="15"/>
  <c r="B402" i="15"/>
  <c r="B403" i="15"/>
  <c r="B404" i="15"/>
  <c r="B405" i="15"/>
  <c r="B406" i="15"/>
  <c r="B407" i="15"/>
  <c r="B408" i="15"/>
  <c r="B409" i="15"/>
  <c r="B410" i="15"/>
  <c r="B411" i="15"/>
  <c r="B412" i="15"/>
  <c r="B413" i="15"/>
  <c r="B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B47" i="15"/>
  <c r="B48" i="15"/>
  <c r="B49" i="15"/>
  <c r="B50" i="15"/>
  <c r="B51" i="15"/>
  <c r="B52" i="15"/>
  <c r="B53" i="15"/>
  <c r="B54" i="15"/>
  <c r="B55" i="15"/>
  <c r="B56" i="15"/>
  <c r="B57" i="15"/>
  <c r="B58" i="15"/>
  <c r="B59" i="15"/>
  <c r="B60" i="15"/>
  <c r="B61" i="15"/>
  <c r="B62" i="15"/>
  <c r="B63" i="15"/>
  <c r="B64" i="15"/>
  <c r="B65" i="15"/>
  <c r="B66" i="15"/>
  <c r="B67" i="15"/>
  <c r="B68" i="15"/>
  <c r="B69" i="15"/>
  <c r="B70" i="15"/>
  <c r="B71" i="15"/>
  <c r="B72" i="15"/>
  <c r="B73" i="15"/>
  <c r="B74" i="15"/>
  <c r="B75" i="15"/>
  <c r="B76" i="15"/>
  <c r="B77" i="15"/>
  <c r="B78" i="15"/>
  <c r="B79" i="15"/>
  <c r="B80" i="15"/>
  <c r="B81" i="15"/>
  <c r="B82" i="15"/>
  <c r="B83" i="15"/>
  <c r="B84" i="15"/>
  <c r="B85" i="15"/>
  <c r="B86" i="15"/>
  <c r="B87" i="15"/>
  <c r="B88" i="15"/>
  <c r="B89" i="15"/>
  <c r="B90" i="15"/>
  <c r="B91" i="15"/>
  <c r="B92" i="15"/>
  <c r="B93" i="15"/>
  <c r="B94" i="15"/>
  <c r="B95" i="15"/>
  <c r="B96" i="15"/>
  <c r="B97" i="15"/>
  <c r="B98" i="15"/>
  <c r="B99" i="15"/>
  <c r="B100" i="15"/>
  <c r="B101" i="15"/>
  <c r="B102" i="15"/>
  <c r="B103" i="15"/>
  <c r="B104" i="15"/>
  <c r="B105" i="15"/>
  <c r="B106" i="15"/>
  <c r="B107" i="15"/>
  <c r="B108" i="15"/>
  <c r="B109" i="15"/>
  <c r="B110" i="15"/>
  <c r="B111" i="15"/>
  <c r="B112" i="15"/>
  <c r="B113" i="15"/>
  <c r="B114" i="15"/>
  <c r="B115" i="15"/>
  <c r="B116" i="15"/>
  <c r="B117" i="15"/>
  <c r="B118" i="15"/>
  <c r="B119" i="15"/>
  <c r="B120" i="15"/>
  <c r="B121" i="15"/>
  <c r="B122" i="15"/>
  <c r="B123" i="15"/>
  <c r="B124" i="15"/>
  <c r="B125" i="15"/>
  <c r="B126" i="15"/>
  <c r="B127" i="15"/>
  <c r="B128" i="15"/>
  <c r="B129" i="15"/>
  <c r="B130" i="15"/>
  <c r="B131" i="15"/>
  <c r="B132" i="15"/>
  <c r="B133" i="15"/>
  <c r="B134" i="15"/>
  <c r="B135" i="15"/>
  <c r="B136" i="15"/>
  <c r="B137" i="15"/>
  <c r="B138" i="15"/>
  <c r="B139" i="15"/>
  <c r="B140" i="15"/>
  <c r="B141" i="15"/>
  <c r="B142" i="15"/>
  <c r="B143" i="15"/>
  <c r="B144" i="15"/>
  <c r="B145" i="15"/>
  <c r="B146" i="15"/>
  <c r="B147" i="15"/>
  <c r="B148" i="15"/>
  <c r="B149" i="15"/>
  <c r="B150" i="15"/>
  <c r="B151" i="15"/>
  <c r="B152" i="15"/>
  <c r="B153" i="15"/>
  <c r="B154" i="15"/>
  <c r="B155" i="15"/>
  <c r="B156" i="15"/>
  <c r="B157" i="15"/>
  <c r="B158" i="15"/>
  <c r="B159" i="15"/>
  <c r="B160" i="15"/>
  <c r="B161" i="15"/>
  <c r="B162" i="15"/>
  <c r="B163" i="15"/>
  <c r="B164" i="15"/>
  <c r="B165" i="15"/>
  <c r="B166" i="15"/>
  <c r="B167" i="15"/>
  <c r="B168" i="15"/>
  <c r="B169" i="15"/>
  <c r="B170" i="15"/>
  <c r="B171" i="15"/>
  <c r="B172" i="15"/>
  <c r="B173" i="15"/>
  <c r="B174" i="15"/>
  <c r="B175" i="15"/>
  <c r="B176" i="15"/>
  <c r="B177" i="15"/>
  <c r="B178" i="15"/>
  <c r="B179" i="15"/>
  <c r="B180" i="15"/>
  <c r="B181" i="15"/>
  <c r="B182" i="15"/>
  <c r="B183" i="15"/>
  <c r="B184" i="15"/>
  <c r="B185" i="15"/>
  <c r="B186" i="15"/>
  <c r="B187" i="15"/>
  <c r="B188" i="15"/>
  <c r="B189" i="15"/>
  <c r="B190" i="15"/>
  <c r="B191" i="15"/>
  <c r="B192" i="15"/>
  <c r="B193" i="15"/>
  <c r="B194" i="15"/>
  <c r="B195" i="15"/>
  <c r="B196" i="15"/>
  <c r="B197" i="15"/>
  <c r="B198" i="15"/>
  <c r="B199" i="15"/>
  <c r="B200" i="15"/>
  <c r="B201" i="15"/>
  <c r="B202" i="15"/>
  <c r="B203" i="15"/>
  <c r="B204" i="15"/>
  <c r="B205" i="15"/>
  <c r="B206" i="15"/>
  <c r="B207" i="15"/>
  <c r="B208" i="15"/>
  <c r="B209" i="15"/>
  <c r="B210" i="15"/>
  <c r="B211" i="15"/>
  <c r="B212" i="15"/>
  <c r="B213" i="15"/>
  <c r="B214" i="15"/>
  <c r="B215" i="15"/>
  <c r="B216" i="15"/>
  <c r="B217" i="15"/>
  <c r="B218" i="15"/>
  <c r="B219" i="15"/>
  <c r="B220" i="15"/>
  <c r="B221" i="15"/>
  <c r="B222" i="15"/>
  <c r="B223" i="15"/>
  <c r="B224" i="15"/>
  <c r="B225" i="15"/>
  <c r="B226" i="15"/>
  <c r="B227" i="15"/>
  <c r="B228" i="15"/>
  <c r="B229" i="15"/>
  <c r="B230" i="15"/>
  <c r="B231" i="15"/>
  <c r="B232" i="15"/>
  <c r="B233" i="15"/>
  <c r="B234" i="15"/>
  <c r="B235" i="15"/>
  <c r="B236" i="15"/>
  <c r="B237" i="15"/>
  <c r="B238" i="15"/>
  <c r="B239" i="15"/>
  <c r="B240" i="15"/>
  <c r="B241" i="15"/>
  <c r="B242" i="15"/>
  <c r="B243" i="15"/>
  <c r="B244" i="15"/>
  <c r="B245" i="15"/>
  <c r="B246" i="15"/>
  <c r="B247" i="15"/>
  <c r="B248" i="15"/>
  <c r="B249" i="15"/>
  <c r="B250" i="15"/>
  <c r="B251" i="15"/>
  <c r="B252" i="15"/>
  <c r="B253" i="15"/>
  <c r="B254" i="15"/>
  <c r="B255" i="15"/>
  <c r="B256" i="15"/>
  <c r="B257" i="15"/>
  <c r="B258" i="15"/>
  <c r="B259" i="15"/>
  <c r="B260" i="15"/>
  <c r="B261" i="15"/>
  <c r="B262" i="15"/>
  <c r="B263" i="15"/>
  <c r="B264" i="15"/>
  <c r="B265" i="15"/>
  <c r="B266" i="15"/>
  <c r="B267" i="15"/>
  <c r="B268" i="15"/>
  <c r="B269" i="15"/>
  <c r="B270" i="15"/>
  <c r="B271" i="15"/>
  <c r="B272" i="15"/>
  <c r="B273" i="15"/>
  <c r="B274" i="15"/>
  <c r="B275" i="15"/>
  <c r="B276" i="15"/>
  <c r="B277" i="15"/>
  <c r="B278" i="15"/>
  <c r="B279" i="15"/>
  <c r="B280" i="15"/>
  <c r="B281" i="15"/>
  <c r="B282" i="15"/>
  <c r="B283" i="15"/>
  <c r="B284" i="15"/>
  <c r="B285" i="15"/>
  <c r="B2" i="15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2" i="1"/>
  <c r="I286" i="1"/>
  <c r="K286" i="1" s="1"/>
  <c r="M286" i="1" s="1"/>
  <c r="I287" i="1"/>
  <c r="K287" i="1" s="1"/>
  <c r="M287" i="1" s="1"/>
  <c r="I288" i="1"/>
  <c r="K288" i="1" s="1"/>
  <c r="M288" i="1" s="1"/>
  <c r="I289" i="1"/>
  <c r="K289" i="1" s="1"/>
  <c r="M289" i="1" s="1"/>
  <c r="I290" i="1"/>
  <c r="K290" i="1"/>
  <c r="M290" i="1" s="1"/>
  <c r="I291" i="1"/>
  <c r="K291" i="1" s="1"/>
  <c r="M291" i="1" s="1"/>
  <c r="I292" i="1"/>
  <c r="K292" i="1" s="1"/>
  <c r="M292" i="1" s="1"/>
  <c r="I293" i="1"/>
  <c r="K293" i="1"/>
  <c r="M293" i="1" s="1"/>
  <c r="I294" i="1"/>
  <c r="K294" i="1" s="1"/>
  <c r="M294" i="1" s="1"/>
  <c r="I295" i="1"/>
  <c r="K295" i="1"/>
  <c r="M295" i="1" s="1"/>
  <c r="I296" i="1"/>
  <c r="K296" i="1"/>
  <c r="M296" i="1" s="1"/>
  <c r="I297" i="1"/>
  <c r="K297" i="1" s="1"/>
  <c r="M297" i="1" s="1"/>
  <c r="I298" i="1"/>
  <c r="K298" i="1" s="1"/>
  <c r="M298" i="1" s="1"/>
  <c r="I299" i="1"/>
  <c r="K299" i="1" s="1"/>
  <c r="M299" i="1" s="1"/>
  <c r="I300" i="1"/>
  <c r="K300" i="1"/>
  <c r="M300" i="1" s="1"/>
  <c r="I301" i="1"/>
  <c r="K301" i="1"/>
  <c r="M301" i="1" s="1"/>
  <c r="I302" i="1"/>
  <c r="K302" i="1"/>
  <c r="M302" i="1" s="1"/>
  <c r="I303" i="1"/>
  <c r="K303" i="1" s="1"/>
  <c r="M303" i="1" s="1"/>
  <c r="I304" i="1"/>
  <c r="K304" i="1"/>
  <c r="M304" i="1" s="1"/>
  <c r="I305" i="1"/>
  <c r="K305" i="1" s="1"/>
  <c r="M305" i="1" s="1"/>
  <c r="I306" i="1"/>
  <c r="K306" i="1"/>
  <c r="M306" i="1" s="1"/>
  <c r="I307" i="1"/>
  <c r="K307" i="1"/>
  <c r="M307" i="1" s="1"/>
  <c r="I308" i="1"/>
  <c r="K308" i="1"/>
  <c r="M308" i="1" s="1"/>
  <c r="I309" i="1"/>
  <c r="K309" i="1" s="1"/>
  <c r="M309" i="1" s="1"/>
  <c r="I310" i="1"/>
  <c r="K310" i="1"/>
  <c r="M310" i="1" s="1"/>
  <c r="I311" i="1"/>
  <c r="K311" i="1" s="1"/>
  <c r="M311" i="1" s="1"/>
  <c r="I312" i="1"/>
  <c r="K312" i="1"/>
  <c r="M312" i="1" s="1"/>
  <c r="I313" i="1"/>
  <c r="K313" i="1"/>
  <c r="M313" i="1" s="1"/>
  <c r="I314" i="1"/>
  <c r="K314" i="1"/>
  <c r="M314" i="1" s="1"/>
  <c r="I315" i="1"/>
  <c r="K315" i="1" s="1"/>
  <c r="M315" i="1" s="1"/>
  <c r="I316" i="1"/>
  <c r="K316" i="1" s="1"/>
  <c r="M316" i="1" s="1"/>
  <c r="I317" i="1"/>
  <c r="K317" i="1"/>
  <c r="M317" i="1" s="1"/>
  <c r="I318" i="1"/>
  <c r="K318" i="1" s="1"/>
  <c r="M318" i="1" s="1"/>
  <c r="I319" i="1"/>
  <c r="K319" i="1"/>
  <c r="M319" i="1" s="1"/>
  <c r="I320" i="1"/>
  <c r="K320" i="1" s="1"/>
  <c r="M320" i="1" s="1"/>
  <c r="I321" i="1"/>
  <c r="K321" i="1" s="1"/>
  <c r="M321" i="1" s="1"/>
  <c r="I322" i="1"/>
  <c r="K322" i="1"/>
  <c r="M322" i="1" s="1"/>
  <c r="I323" i="1"/>
  <c r="K323" i="1" s="1"/>
  <c r="M323" i="1" s="1"/>
  <c r="I324" i="1"/>
  <c r="K324" i="1"/>
  <c r="M324" i="1" s="1"/>
  <c r="I325" i="1"/>
  <c r="K325" i="1" s="1"/>
  <c r="M325" i="1" s="1"/>
  <c r="I326" i="1"/>
  <c r="K326" i="1"/>
  <c r="M326" i="1" s="1"/>
  <c r="I327" i="1"/>
  <c r="K327" i="1" s="1"/>
  <c r="M327" i="1" s="1"/>
  <c r="I328" i="1"/>
  <c r="K328" i="1"/>
  <c r="M328" i="1" s="1"/>
  <c r="I329" i="1"/>
  <c r="K329" i="1"/>
  <c r="M329" i="1" s="1"/>
  <c r="I330" i="1"/>
  <c r="K330" i="1"/>
  <c r="M330" i="1" s="1"/>
  <c r="I331" i="1"/>
  <c r="K331" i="1" s="1"/>
  <c r="M331" i="1" s="1"/>
  <c r="I332" i="1"/>
  <c r="K332" i="1"/>
  <c r="M332" i="1" s="1"/>
  <c r="I333" i="1"/>
  <c r="K333" i="1" s="1"/>
  <c r="M333" i="1" s="1"/>
  <c r="I334" i="1"/>
  <c r="K334" i="1"/>
  <c r="M334" i="1" s="1"/>
  <c r="I335" i="1"/>
  <c r="K335" i="1"/>
  <c r="M335" i="1" s="1"/>
  <c r="I336" i="1"/>
  <c r="K336" i="1"/>
  <c r="M336" i="1" s="1"/>
  <c r="I337" i="1"/>
  <c r="K337" i="1" s="1"/>
  <c r="M337" i="1" s="1"/>
  <c r="I338" i="1"/>
  <c r="K338" i="1"/>
  <c r="M338" i="1" s="1"/>
  <c r="I339" i="1"/>
  <c r="K339" i="1" s="1"/>
  <c r="M339" i="1" s="1"/>
  <c r="I340" i="1"/>
  <c r="K340" i="1" s="1"/>
  <c r="M340" i="1" s="1"/>
  <c r="I341" i="1"/>
  <c r="K341" i="1" s="1"/>
  <c r="M341" i="1" s="1"/>
  <c r="I342" i="1"/>
  <c r="K342" i="1" s="1"/>
  <c r="M342" i="1" s="1"/>
  <c r="I343" i="1"/>
  <c r="K343" i="1"/>
  <c r="M343" i="1" s="1"/>
  <c r="I344" i="1"/>
  <c r="K344" i="1"/>
  <c r="M344" i="1" s="1"/>
  <c r="I345" i="1"/>
  <c r="K345" i="1" s="1"/>
  <c r="M345" i="1" s="1"/>
  <c r="I346" i="1"/>
  <c r="K346" i="1" s="1"/>
  <c r="M346" i="1" s="1"/>
  <c r="I347" i="1"/>
  <c r="K347" i="1" s="1"/>
  <c r="M347" i="1" s="1"/>
  <c r="I348" i="1"/>
  <c r="K348" i="1"/>
  <c r="M348" i="1" s="1"/>
  <c r="I349" i="1"/>
  <c r="K349" i="1" s="1"/>
  <c r="M349" i="1" s="1"/>
  <c r="I350" i="1"/>
  <c r="K350" i="1"/>
  <c r="M350" i="1" s="1"/>
  <c r="I351" i="1"/>
  <c r="K351" i="1"/>
  <c r="M351" i="1" s="1"/>
  <c r="I352" i="1"/>
  <c r="K352" i="1"/>
  <c r="M352" i="1" s="1"/>
  <c r="I353" i="1"/>
  <c r="K353" i="1" s="1"/>
  <c r="M353" i="1" s="1"/>
  <c r="I354" i="1"/>
  <c r="K354" i="1"/>
  <c r="M354" i="1" s="1"/>
  <c r="I355" i="1"/>
  <c r="K355" i="1" s="1"/>
  <c r="M355" i="1" s="1"/>
  <c r="I356" i="1"/>
  <c r="K356" i="1"/>
  <c r="M356" i="1" s="1"/>
  <c r="I357" i="1"/>
  <c r="K357" i="1"/>
  <c r="M357" i="1" s="1"/>
  <c r="I358" i="1"/>
  <c r="K358" i="1"/>
  <c r="M358" i="1" s="1"/>
  <c r="I359" i="1"/>
  <c r="K359" i="1" s="1"/>
  <c r="M359" i="1" s="1"/>
  <c r="I360" i="1"/>
  <c r="K360" i="1"/>
  <c r="M360" i="1" s="1"/>
  <c r="I361" i="1"/>
  <c r="K361" i="1" s="1"/>
  <c r="M361" i="1" s="1"/>
  <c r="I362" i="1"/>
  <c r="K362" i="1"/>
  <c r="M362" i="1" s="1"/>
  <c r="I363" i="1"/>
  <c r="K363" i="1"/>
  <c r="M363" i="1" s="1"/>
  <c r="I364" i="1"/>
  <c r="K364" i="1" s="1"/>
  <c r="M364" i="1" s="1"/>
  <c r="I365" i="1"/>
  <c r="K365" i="1" s="1"/>
  <c r="M365" i="1" s="1"/>
  <c r="I366" i="1"/>
  <c r="K366" i="1" s="1"/>
  <c r="M366" i="1" s="1"/>
  <c r="I367" i="1"/>
  <c r="K367" i="1"/>
  <c r="M367" i="1" s="1"/>
  <c r="I368" i="1"/>
  <c r="K368" i="1" s="1"/>
  <c r="M368" i="1" s="1"/>
  <c r="I369" i="1"/>
  <c r="K369" i="1" s="1"/>
  <c r="M369" i="1" s="1"/>
  <c r="I370" i="1"/>
  <c r="K370" i="1" s="1"/>
  <c r="M370" i="1" s="1"/>
  <c r="I371" i="1"/>
  <c r="K371" i="1" s="1"/>
  <c r="M371" i="1" s="1"/>
  <c r="I372" i="1"/>
  <c r="K372" i="1"/>
  <c r="M372" i="1" s="1"/>
  <c r="I373" i="1"/>
  <c r="K373" i="1"/>
  <c r="M373" i="1" s="1"/>
  <c r="I374" i="1"/>
  <c r="K374" i="1"/>
  <c r="M374" i="1" s="1"/>
  <c r="I375" i="1"/>
  <c r="K375" i="1" s="1"/>
  <c r="M375" i="1" s="1"/>
  <c r="I376" i="1"/>
  <c r="K376" i="1"/>
  <c r="M376" i="1" s="1"/>
  <c r="I377" i="1"/>
  <c r="K377" i="1" s="1"/>
  <c r="M377" i="1" s="1"/>
  <c r="I378" i="1"/>
  <c r="K378" i="1"/>
  <c r="M378" i="1" s="1"/>
  <c r="I379" i="1"/>
  <c r="K379" i="1"/>
  <c r="M379" i="1" s="1"/>
  <c r="I380" i="1"/>
  <c r="K380" i="1"/>
  <c r="M380" i="1" s="1"/>
  <c r="I381" i="1"/>
  <c r="K381" i="1" s="1"/>
  <c r="M381" i="1" s="1"/>
  <c r="I382" i="1"/>
  <c r="K382" i="1"/>
  <c r="M382" i="1" s="1"/>
  <c r="I383" i="1"/>
  <c r="K383" i="1" s="1"/>
  <c r="M383" i="1" s="1"/>
  <c r="I384" i="1"/>
  <c r="K384" i="1"/>
  <c r="M384" i="1" s="1"/>
  <c r="I385" i="1"/>
  <c r="K385" i="1"/>
  <c r="M385" i="1" s="1"/>
  <c r="I386" i="1"/>
  <c r="K386" i="1"/>
  <c r="M386" i="1" s="1"/>
  <c r="I387" i="1"/>
  <c r="K387" i="1" s="1"/>
  <c r="M387" i="1" s="1"/>
  <c r="I388" i="1"/>
  <c r="K388" i="1" s="1"/>
  <c r="M388" i="1" s="1"/>
  <c r="I389" i="1"/>
  <c r="K389" i="1"/>
  <c r="M389" i="1" s="1"/>
  <c r="I390" i="1"/>
  <c r="K390" i="1" s="1"/>
  <c r="M390" i="1" s="1"/>
  <c r="I391" i="1"/>
  <c r="K391" i="1"/>
  <c r="M391" i="1" s="1"/>
  <c r="I392" i="1"/>
  <c r="K392" i="1" s="1"/>
  <c r="M392" i="1" s="1"/>
  <c r="I393" i="1"/>
  <c r="K393" i="1" s="1"/>
  <c r="M393" i="1" s="1"/>
  <c r="I394" i="1"/>
  <c r="K394" i="1"/>
  <c r="M394" i="1" s="1"/>
  <c r="I395" i="1"/>
  <c r="K395" i="1" s="1"/>
  <c r="M395" i="1" s="1"/>
  <c r="I396" i="1"/>
  <c r="K396" i="1"/>
  <c r="M396" i="1" s="1"/>
  <c r="I397" i="1"/>
  <c r="K397" i="1"/>
  <c r="M397" i="1" s="1"/>
  <c r="I398" i="1"/>
  <c r="K398" i="1" s="1"/>
  <c r="M398" i="1" s="1"/>
  <c r="I399" i="1"/>
  <c r="K399" i="1"/>
  <c r="M399" i="1" s="1"/>
  <c r="I400" i="1"/>
  <c r="K400" i="1" s="1"/>
  <c r="M400" i="1" s="1"/>
  <c r="I401" i="1"/>
  <c r="K401" i="1"/>
  <c r="M401" i="1" s="1"/>
  <c r="I402" i="1"/>
  <c r="K402" i="1"/>
  <c r="M402" i="1" s="1"/>
  <c r="I403" i="1"/>
  <c r="K403" i="1"/>
  <c r="M403" i="1" s="1"/>
  <c r="I404" i="1"/>
  <c r="K404" i="1" s="1"/>
  <c r="M404" i="1" s="1"/>
  <c r="I405" i="1"/>
  <c r="K405" i="1"/>
  <c r="M405" i="1" s="1"/>
  <c r="I406" i="1"/>
  <c r="K406" i="1" s="1"/>
  <c r="M406" i="1" s="1"/>
  <c r="I407" i="1"/>
  <c r="K407" i="1"/>
  <c r="M407" i="1" s="1"/>
  <c r="I408" i="1"/>
  <c r="K408" i="1" s="1"/>
  <c r="M408" i="1" s="1"/>
  <c r="I409" i="1"/>
  <c r="K409" i="1" s="1"/>
  <c r="M409" i="1" s="1"/>
  <c r="I410" i="1"/>
  <c r="K410" i="1" s="1"/>
  <c r="M410" i="1" s="1"/>
  <c r="I411" i="1"/>
  <c r="K411" i="1" s="1"/>
  <c r="M411" i="1" s="1"/>
  <c r="I412" i="1"/>
  <c r="K412" i="1"/>
  <c r="M412" i="1" s="1"/>
  <c r="I413" i="1"/>
  <c r="K413" i="1"/>
  <c r="M413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" i="1"/>
  <c r="K4" i="1" l="1"/>
  <c r="M4" i="1" s="1"/>
  <c r="K9" i="1"/>
  <c r="M9" i="1" s="1"/>
  <c r="K10" i="1"/>
  <c r="M10" i="1" s="1"/>
  <c r="K11" i="1"/>
  <c r="M11" i="1" s="1"/>
  <c r="K14" i="1"/>
  <c r="M14" i="1" s="1"/>
  <c r="K15" i="1"/>
  <c r="M15" i="1" s="1"/>
  <c r="K16" i="1"/>
  <c r="M16" i="1" s="1"/>
  <c r="K21" i="1"/>
  <c r="M21" i="1" s="1"/>
  <c r="K22" i="1"/>
  <c r="M22" i="1" s="1"/>
  <c r="K23" i="1"/>
  <c r="M23" i="1" s="1"/>
  <c r="K26" i="1"/>
  <c r="M26" i="1" s="1"/>
  <c r="K27" i="1"/>
  <c r="M27" i="1" s="1"/>
  <c r="K28" i="1"/>
  <c r="M28" i="1" s="1"/>
  <c r="K34" i="1"/>
  <c r="M34" i="1" s="1"/>
  <c r="K35" i="1"/>
  <c r="M35" i="1" s="1"/>
  <c r="K38" i="1"/>
  <c r="M38" i="1" s="1"/>
  <c r="K39" i="1"/>
  <c r="M39" i="1" s="1"/>
  <c r="K40" i="1"/>
  <c r="M40" i="1" s="1"/>
  <c r="K45" i="1"/>
  <c r="M45" i="1" s="1"/>
  <c r="K46" i="1"/>
  <c r="M46" i="1" s="1"/>
  <c r="K47" i="1"/>
  <c r="M47" i="1" s="1"/>
  <c r="K50" i="1"/>
  <c r="M50" i="1" s="1"/>
  <c r="K51" i="1"/>
  <c r="M51" i="1" s="1"/>
  <c r="K58" i="1"/>
  <c r="M58" i="1" s="1"/>
  <c r="K59" i="1"/>
  <c r="M59" i="1" s="1"/>
  <c r="K62" i="1"/>
  <c r="M62" i="1" s="1"/>
  <c r="K63" i="1"/>
  <c r="M63" i="1" s="1"/>
  <c r="K69" i="1"/>
  <c r="M69" i="1" s="1"/>
  <c r="K70" i="1"/>
  <c r="M70" i="1" s="1"/>
  <c r="K71" i="1"/>
  <c r="M71" i="1" s="1"/>
  <c r="K75" i="1"/>
  <c r="M75" i="1" s="1"/>
  <c r="K76" i="1"/>
  <c r="M76" i="1" s="1"/>
  <c r="K82" i="1"/>
  <c r="M82" i="1" s="1"/>
  <c r="K83" i="1"/>
  <c r="M83" i="1" s="1"/>
  <c r="K86" i="1"/>
  <c r="M86" i="1" s="1"/>
  <c r="K87" i="1"/>
  <c r="M87" i="1" s="1"/>
  <c r="K93" i="1"/>
  <c r="M93" i="1" s="1"/>
  <c r="K94" i="1"/>
  <c r="M94" i="1" s="1"/>
  <c r="K95" i="1"/>
  <c r="M95" i="1" s="1"/>
  <c r="K99" i="1"/>
  <c r="M99" i="1" s="1"/>
  <c r="K105" i="1"/>
  <c r="M105" i="1" s="1"/>
  <c r="K106" i="1"/>
  <c r="M106" i="1" s="1"/>
  <c r="K107" i="1"/>
  <c r="M107" i="1" s="1"/>
  <c r="K110" i="1"/>
  <c r="M110" i="1" s="1"/>
  <c r="K111" i="1"/>
  <c r="M111" i="1" s="1"/>
  <c r="K112" i="1"/>
  <c r="M112" i="1" s="1"/>
  <c r="K117" i="1"/>
  <c r="M117" i="1" s="1"/>
  <c r="K118" i="1"/>
  <c r="M118" i="1" s="1"/>
  <c r="K119" i="1"/>
  <c r="M119" i="1" s="1"/>
  <c r="K122" i="1"/>
  <c r="M122" i="1" s="1"/>
  <c r="K123" i="1"/>
  <c r="M123" i="1" s="1"/>
  <c r="K124" i="1"/>
  <c r="M124" i="1" s="1"/>
  <c r="K130" i="1"/>
  <c r="M130" i="1" s="1"/>
  <c r="K131" i="1"/>
  <c r="M131" i="1" s="1"/>
  <c r="K135" i="1"/>
  <c r="M135" i="1" s="1"/>
  <c r="K141" i="1"/>
  <c r="M141" i="1" s="1"/>
  <c r="K142" i="1"/>
  <c r="M142" i="1" s="1"/>
  <c r="K143" i="1"/>
  <c r="M143" i="1" s="1"/>
  <c r="K147" i="1"/>
  <c r="M147" i="1" s="1"/>
  <c r="K148" i="1"/>
  <c r="M148" i="1" s="1"/>
  <c r="K153" i="1"/>
  <c r="M153" i="1" s="1"/>
  <c r="K154" i="1"/>
  <c r="M154" i="1" s="1"/>
  <c r="K155" i="1"/>
  <c r="M155" i="1" s="1"/>
  <c r="K158" i="1"/>
  <c r="M158" i="1" s="1"/>
  <c r="K159" i="1"/>
  <c r="M159" i="1" s="1"/>
  <c r="K160" i="1"/>
  <c r="M160" i="1" s="1"/>
  <c r="K165" i="1"/>
  <c r="M165" i="1" s="1"/>
  <c r="K166" i="1"/>
  <c r="M166" i="1" s="1"/>
  <c r="K167" i="1"/>
  <c r="M167" i="1" s="1"/>
  <c r="K170" i="1"/>
  <c r="M170" i="1" s="1"/>
  <c r="K171" i="1"/>
  <c r="M171" i="1" s="1"/>
  <c r="K178" i="1"/>
  <c r="M178" i="1" s="1"/>
  <c r="K179" i="1"/>
  <c r="M179" i="1" s="1"/>
  <c r="K182" i="1"/>
  <c r="M182" i="1" s="1"/>
  <c r="K183" i="1"/>
  <c r="M183" i="1" s="1"/>
  <c r="K184" i="1"/>
  <c r="M184" i="1" s="1"/>
  <c r="K189" i="1"/>
  <c r="M189" i="1" s="1"/>
  <c r="K190" i="1"/>
  <c r="M190" i="1" s="1"/>
  <c r="K191" i="1"/>
  <c r="M191" i="1" s="1"/>
  <c r="K194" i="1"/>
  <c r="M194" i="1" s="1"/>
  <c r="K195" i="1"/>
  <c r="M195" i="1" s="1"/>
  <c r="K202" i="1"/>
  <c r="M202" i="1" s="1"/>
  <c r="K203" i="1"/>
  <c r="M203" i="1" s="1"/>
  <c r="K206" i="1"/>
  <c r="M206" i="1" s="1"/>
  <c r="K207" i="1"/>
  <c r="M207" i="1" s="1"/>
  <c r="K213" i="1"/>
  <c r="M213" i="1" s="1"/>
  <c r="K214" i="1"/>
  <c r="M214" i="1" s="1"/>
  <c r="K215" i="1"/>
  <c r="M215" i="1" s="1"/>
  <c r="K219" i="1"/>
  <c r="M219" i="1" s="1"/>
  <c r="K226" i="1"/>
  <c r="M226" i="1" s="1"/>
  <c r="K227" i="1"/>
  <c r="M227" i="1" s="1"/>
  <c r="K230" i="1"/>
  <c r="M230" i="1" s="1"/>
  <c r="K231" i="1"/>
  <c r="M231" i="1" s="1"/>
  <c r="K237" i="1"/>
  <c r="M237" i="1" s="1"/>
  <c r="K238" i="1"/>
  <c r="M238" i="1" s="1"/>
  <c r="K239" i="1"/>
  <c r="M239" i="1" s="1"/>
  <c r="K243" i="1"/>
  <c r="M243" i="1" s="1"/>
  <c r="K249" i="1"/>
  <c r="M249" i="1" s="1"/>
  <c r="K250" i="1"/>
  <c r="M250" i="1" s="1"/>
  <c r="K251" i="1"/>
  <c r="M251" i="1" s="1"/>
  <c r="K254" i="1"/>
  <c r="M254" i="1" s="1"/>
  <c r="K255" i="1"/>
  <c r="M255" i="1" s="1"/>
  <c r="K256" i="1"/>
  <c r="M256" i="1" s="1"/>
  <c r="K261" i="1"/>
  <c r="M261" i="1" s="1"/>
  <c r="K262" i="1"/>
  <c r="M262" i="1" s="1"/>
  <c r="K263" i="1"/>
  <c r="M263" i="1" s="1"/>
  <c r="K266" i="1"/>
  <c r="M266" i="1" s="1"/>
  <c r="K267" i="1"/>
  <c r="M267" i="1" s="1"/>
  <c r="K268" i="1"/>
  <c r="M268" i="1" s="1"/>
  <c r="K271" i="1"/>
  <c r="M271" i="1" s="1"/>
  <c r="K274" i="1"/>
  <c r="M274" i="1" s="1"/>
  <c r="K275" i="1"/>
  <c r="M275" i="1" s="1"/>
  <c r="K278" i="1"/>
  <c r="M278" i="1" s="1"/>
  <c r="K279" i="1"/>
  <c r="M279" i="1" s="1"/>
  <c r="K283" i="1"/>
  <c r="M283" i="1" s="1"/>
  <c r="K285" i="1"/>
  <c r="M285" i="1" s="1"/>
  <c r="K2" i="1"/>
  <c r="M2" i="1" s="1"/>
  <c r="K3" i="1"/>
  <c r="M3" i="1" s="1"/>
  <c r="K5" i="1"/>
  <c r="M5" i="1" s="1"/>
  <c r="K6" i="1"/>
  <c r="M6" i="1" s="1"/>
  <c r="K7" i="1"/>
  <c r="M7" i="1" s="1"/>
  <c r="K8" i="1"/>
  <c r="M8" i="1" s="1"/>
  <c r="K12" i="1"/>
  <c r="M12" i="1" s="1"/>
  <c r="K13" i="1"/>
  <c r="M13" i="1" s="1"/>
  <c r="K17" i="1"/>
  <c r="M17" i="1" s="1"/>
  <c r="K18" i="1"/>
  <c r="M18" i="1" s="1"/>
  <c r="K19" i="1"/>
  <c r="M19" i="1" s="1"/>
  <c r="K20" i="1"/>
  <c r="M20" i="1" s="1"/>
  <c r="K24" i="1"/>
  <c r="M24" i="1" s="1"/>
  <c r="K25" i="1"/>
  <c r="M25" i="1" s="1"/>
  <c r="K29" i="1"/>
  <c r="M29" i="1" s="1"/>
  <c r="K30" i="1"/>
  <c r="M30" i="1" s="1"/>
  <c r="K31" i="1"/>
  <c r="M31" i="1" s="1"/>
  <c r="K32" i="1"/>
  <c r="M32" i="1" s="1"/>
  <c r="K33" i="1"/>
  <c r="M33" i="1" s="1"/>
  <c r="K36" i="1"/>
  <c r="M36" i="1" s="1"/>
  <c r="K37" i="1"/>
  <c r="M37" i="1" s="1"/>
  <c r="K41" i="1"/>
  <c r="M41" i="1" s="1"/>
  <c r="K42" i="1"/>
  <c r="M42" i="1" s="1"/>
  <c r="K43" i="1"/>
  <c r="M43" i="1" s="1"/>
  <c r="K44" i="1"/>
  <c r="M44" i="1" s="1"/>
  <c r="K48" i="1"/>
  <c r="M48" i="1" s="1"/>
  <c r="K49" i="1"/>
  <c r="M49" i="1" s="1"/>
  <c r="K52" i="1"/>
  <c r="M52" i="1" s="1"/>
  <c r="K53" i="1"/>
  <c r="M53" i="1" s="1"/>
  <c r="K54" i="1"/>
  <c r="M54" i="1" s="1"/>
  <c r="K55" i="1"/>
  <c r="M55" i="1" s="1"/>
  <c r="K56" i="1"/>
  <c r="M56" i="1" s="1"/>
  <c r="K57" i="1"/>
  <c r="M57" i="1" s="1"/>
  <c r="K60" i="1"/>
  <c r="M60" i="1" s="1"/>
  <c r="K61" i="1"/>
  <c r="M61" i="1" s="1"/>
  <c r="K64" i="1"/>
  <c r="M64" i="1" s="1"/>
  <c r="K65" i="1"/>
  <c r="M65" i="1" s="1"/>
  <c r="K66" i="1"/>
  <c r="M66" i="1" s="1"/>
  <c r="K67" i="1"/>
  <c r="M67" i="1" s="1"/>
  <c r="K68" i="1"/>
  <c r="M68" i="1" s="1"/>
  <c r="K72" i="1"/>
  <c r="M72" i="1" s="1"/>
  <c r="K73" i="1"/>
  <c r="M73" i="1" s="1"/>
  <c r="K74" i="1"/>
  <c r="M74" i="1" s="1"/>
  <c r="K77" i="1"/>
  <c r="M77" i="1" s="1"/>
  <c r="K78" i="1"/>
  <c r="M78" i="1" s="1"/>
  <c r="K79" i="1"/>
  <c r="M79" i="1" s="1"/>
  <c r="K80" i="1"/>
  <c r="M80" i="1" s="1"/>
  <c r="K81" i="1"/>
  <c r="M81" i="1" s="1"/>
  <c r="K84" i="1"/>
  <c r="M84" i="1" s="1"/>
  <c r="K85" i="1"/>
  <c r="M85" i="1" s="1"/>
  <c r="K88" i="1"/>
  <c r="M88" i="1" s="1"/>
  <c r="K89" i="1"/>
  <c r="M89" i="1" s="1"/>
  <c r="K90" i="1"/>
  <c r="M90" i="1" s="1"/>
  <c r="K91" i="1"/>
  <c r="M91" i="1" s="1"/>
  <c r="K92" i="1"/>
  <c r="M92" i="1" s="1"/>
  <c r="K96" i="1"/>
  <c r="M96" i="1" s="1"/>
  <c r="K97" i="1"/>
  <c r="M97" i="1" s="1"/>
  <c r="K98" i="1"/>
  <c r="M98" i="1" s="1"/>
  <c r="K100" i="1"/>
  <c r="M100" i="1" s="1"/>
  <c r="K101" i="1"/>
  <c r="M101" i="1" s="1"/>
  <c r="K102" i="1"/>
  <c r="M102" i="1" s="1"/>
  <c r="K103" i="1"/>
  <c r="M103" i="1" s="1"/>
  <c r="K104" i="1"/>
  <c r="M104" i="1" s="1"/>
  <c r="K108" i="1"/>
  <c r="M108" i="1" s="1"/>
  <c r="K109" i="1"/>
  <c r="M109" i="1" s="1"/>
  <c r="K113" i="1"/>
  <c r="M113" i="1" s="1"/>
  <c r="K114" i="1"/>
  <c r="M114" i="1" s="1"/>
  <c r="K115" i="1"/>
  <c r="M115" i="1" s="1"/>
  <c r="K116" i="1"/>
  <c r="M116" i="1" s="1"/>
  <c r="K120" i="1"/>
  <c r="M120" i="1" s="1"/>
  <c r="K121" i="1"/>
  <c r="M121" i="1" s="1"/>
  <c r="K125" i="1"/>
  <c r="M125" i="1" s="1"/>
  <c r="K126" i="1"/>
  <c r="M126" i="1" s="1"/>
  <c r="K127" i="1"/>
  <c r="M127" i="1" s="1"/>
  <c r="K128" i="1"/>
  <c r="M128" i="1" s="1"/>
  <c r="K129" i="1"/>
  <c r="M129" i="1" s="1"/>
  <c r="K132" i="1"/>
  <c r="M132" i="1" s="1"/>
  <c r="K133" i="1"/>
  <c r="M133" i="1" s="1"/>
  <c r="K134" i="1"/>
  <c r="M134" i="1" s="1"/>
  <c r="K136" i="1"/>
  <c r="M136" i="1" s="1"/>
  <c r="K137" i="1"/>
  <c r="M137" i="1" s="1"/>
  <c r="K138" i="1"/>
  <c r="M138" i="1" s="1"/>
  <c r="K139" i="1"/>
  <c r="M139" i="1" s="1"/>
  <c r="K140" i="1"/>
  <c r="M140" i="1" s="1"/>
  <c r="K144" i="1"/>
  <c r="M144" i="1" s="1"/>
  <c r="K145" i="1"/>
  <c r="M145" i="1" s="1"/>
  <c r="K146" i="1"/>
  <c r="M146" i="1" s="1"/>
  <c r="K149" i="1"/>
  <c r="M149" i="1" s="1"/>
  <c r="K150" i="1"/>
  <c r="M150" i="1" s="1"/>
  <c r="K151" i="1"/>
  <c r="M151" i="1" s="1"/>
  <c r="K152" i="1"/>
  <c r="M152" i="1" s="1"/>
  <c r="K156" i="1"/>
  <c r="M156" i="1" s="1"/>
  <c r="K157" i="1"/>
  <c r="M157" i="1" s="1"/>
  <c r="K161" i="1"/>
  <c r="M161" i="1" s="1"/>
  <c r="K162" i="1"/>
  <c r="M162" i="1" s="1"/>
  <c r="K163" i="1"/>
  <c r="M163" i="1" s="1"/>
  <c r="K164" i="1"/>
  <c r="M164" i="1" s="1"/>
  <c r="K168" i="1"/>
  <c r="M168" i="1" s="1"/>
  <c r="K169" i="1"/>
  <c r="M169" i="1" s="1"/>
  <c r="K172" i="1"/>
  <c r="M172" i="1" s="1"/>
  <c r="K173" i="1"/>
  <c r="M173" i="1" s="1"/>
  <c r="K174" i="1"/>
  <c r="M174" i="1" s="1"/>
  <c r="K175" i="1"/>
  <c r="M175" i="1" s="1"/>
  <c r="K176" i="1"/>
  <c r="M176" i="1" s="1"/>
  <c r="K177" i="1"/>
  <c r="M177" i="1" s="1"/>
  <c r="K180" i="1"/>
  <c r="M180" i="1" s="1"/>
  <c r="K181" i="1"/>
  <c r="M181" i="1" s="1"/>
  <c r="K185" i="1"/>
  <c r="M185" i="1" s="1"/>
  <c r="K186" i="1"/>
  <c r="M186" i="1" s="1"/>
  <c r="K187" i="1"/>
  <c r="M187" i="1" s="1"/>
  <c r="K188" i="1"/>
  <c r="M188" i="1" s="1"/>
  <c r="K192" i="1"/>
  <c r="M192" i="1" s="1"/>
  <c r="K193" i="1"/>
  <c r="M193" i="1" s="1"/>
  <c r="K196" i="1"/>
  <c r="M196" i="1" s="1"/>
  <c r="K197" i="1"/>
  <c r="M197" i="1" s="1"/>
  <c r="K198" i="1"/>
  <c r="M198" i="1" s="1"/>
  <c r="K199" i="1"/>
  <c r="M199" i="1" s="1"/>
  <c r="K200" i="1"/>
  <c r="M200" i="1" s="1"/>
  <c r="K201" i="1"/>
  <c r="M201" i="1" s="1"/>
  <c r="K204" i="1"/>
  <c r="M204" i="1" s="1"/>
  <c r="K205" i="1"/>
  <c r="M205" i="1" s="1"/>
  <c r="K208" i="1"/>
  <c r="M208" i="1" s="1"/>
  <c r="K209" i="1"/>
  <c r="M209" i="1" s="1"/>
  <c r="K210" i="1"/>
  <c r="M210" i="1" s="1"/>
  <c r="K211" i="1"/>
  <c r="M211" i="1" s="1"/>
  <c r="K212" i="1"/>
  <c r="M212" i="1" s="1"/>
  <c r="K216" i="1"/>
  <c r="M216" i="1" s="1"/>
  <c r="K217" i="1"/>
  <c r="M217" i="1" s="1"/>
  <c r="K218" i="1"/>
  <c r="M218" i="1" s="1"/>
  <c r="K220" i="1"/>
  <c r="M220" i="1" s="1"/>
  <c r="K221" i="1"/>
  <c r="M221" i="1" s="1"/>
  <c r="K222" i="1"/>
  <c r="M222" i="1" s="1"/>
  <c r="K223" i="1"/>
  <c r="M223" i="1" s="1"/>
  <c r="K224" i="1"/>
  <c r="M224" i="1" s="1"/>
  <c r="K225" i="1"/>
  <c r="M225" i="1" s="1"/>
  <c r="K228" i="1"/>
  <c r="M228" i="1" s="1"/>
  <c r="K229" i="1"/>
  <c r="M229" i="1" s="1"/>
  <c r="K232" i="1"/>
  <c r="M232" i="1" s="1"/>
  <c r="K233" i="1"/>
  <c r="M233" i="1" s="1"/>
  <c r="K234" i="1"/>
  <c r="M234" i="1" s="1"/>
  <c r="K235" i="1"/>
  <c r="M235" i="1" s="1"/>
  <c r="K236" i="1"/>
  <c r="M236" i="1" s="1"/>
  <c r="K240" i="1"/>
  <c r="M240" i="1" s="1"/>
  <c r="K241" i="1"/>
  <c r="M241" i="1" s="1"/>
  <c r="K242" i="1"/>
  <c r="M242" i="1" s="1"/>
  <c r="K244" i="1"/>
  <c r="M244" i="1" s="1"/>
  <c r="K245" i="1"/>
  <c r="M245" i="1" s="1"/>
  <c r="K246" i="1"/>
  <c r="M246" i="1" s="1"/>
  <c r="K247" i="1"/>
  <c r="M247" i="1" s="1"/>
  <c r="K248" i="1"/>
  <c r="M248" i="1" s="1"/>
  <c r="K252" i="1"/>
  <c r="M252" i="1" s="1"/>
  <c r="K253" i="1"/>
  <c r="M253" i="1" s="1"/>
  <c r="K257" i="1"/>
  <c r="M257" i="1" s="1"/>
  <c r="K258" i="1"/>
  <c r="M258" i="1" s="1"/>
  <c r="K259" i="1"/>
  <c r="M259" i="1" s="1"/>
  <c r="K260" i="1"/>
  <c r="M260" i="1" s="1"/>
  <c r="K264" i="1"/>
  <c r="M264" i="1" s="1"/>
  <c r="K265" i="1"/>
  <c r="M265" i="1" s="1"/>
  <c r="K269" i="1"/>
  <c r="M269" i="1" s="1"/>
  <c r="K270" i="1"/>
  <c r="M270" i="1" s="1"/>
  <c r="K272" i="1"/>
  <c r="M272" i="1" s="1"/>
  <c r="K273" i="1"/>
  <c r="M273" i="1" s="1"/>
  <c r="K276" i="1"/>
  <c r="M276" i="1" s="1"/>
  <c r="K277" i="1"/>
  <c r="M277" i="1" s="1"/>
  <c r="K280" i="1"/>
  <c r="M280" i="1" s="1"/>
  <c r="K281" i="1"/>
  <c r="M281" i="1" s="1"/>
  <c r="K282" i="1"/>
  <c r="M282" i="1" s="1"/>
  <c r="K284" i="1"/>
  <c r="M284" i="1" s="1"/>
</calcChain>
</file>

<file path=xl/sharedStrings.xml><?xml version="1.0" encoding="utf-8"?>
<sst xmlns="http://schemas.openxmlformats.org/spreadsheetml/2006/main" count="1188" uniqueCount="770">
  <si>
    <t>CODE</t>
  </si>
  <si>
    <t>DEALER</t>
  </si>
  <si>
    <t>CONSUMER</t>
  </si>
  <si>
    <t>Q.TY FOR BAG</t>
  </si>
  <si>
    <t>2012-SH4</t>
  </si>
  <si>
    <t>COMPLETE SHORT CAR (WITH NEW BRAKE HUB, SILICON SHOCKS, BATTERY HOLDER SET, REAR AND FRONT TITANIUM ANTI-ROLL BAR)</t>
  </si>
  <si>
    <t>1</t>
  </si>
  <si>
    <t>2012-04B</t>
  </si>
  <si>
    <t>COMPLETE CAR (WITH NEW BRAKE HUB, SILICON SHOCKS, BATTERY HOLDER SET, REAR AND FRONT TITANIUM ANTI-ROLL BAR)</t>
  </si>
  <si>
    <t>2012-06</t>
  </si>
  <si>
    <t>COMPLETE SET BUMPER</t>
  </si>
  <si>
    <t>2012-07</t>
  </si>
  <si>
    <t>PLASTIC SUPPORT BUMPER</t>
  </si>
  <si>
    <t>2012-08</t>
  </si>
  <si>
    <t>FRONT BODY MOUNT</t>
  </si>
  <si>
    <t>2012-09</t>
  </si>
  <si>
    <t>BUMPER FOAM</t>
  </si>
  <si>
    <t>2012-10</t>
  </si>
  <si>
    <t>FASTENING STRIP FIXING BUMPER</t>
  </si>
  <si>
    <t>2012-11</t>
  </si>
  <si>
    <t>BODYSHELL CLIPS</t>
  </si>
  <si>
    <t>2012-12</t>
  </si>
  <si>
    <t>M4 BOLT BUMPER FIXING SET</t>
  </si>
  <si>
    <t>2012-13</t>
  </si>
  <si>
    <t>CARBON FIBER FRONT BODY SUPPORT</t>
  </si>
  <si>
    <t>2012-14</t>
  </si>
  <si>
    <t>2012-15</t>
  </si>
  <si>
    <t>PAN-HEAD SCREWS M4X12</t>
  </si>
  <si>
    <t>2012-16</t>
  </si>
  <si>
    <t>CARBON FIBER FRONT MOUNT PLATE</t>
  </si>
  <si>
    <t>2012-17</t>
  </si>
  <si>
    <t>FRONT SHOCK SUPPORT</t>
  </si>
  <si>
    <t>2012-18</t>
  </si>
  <si>
    <t>FRONT UPPER WISHBONE SHAFT</t>
  </si>
  <si>
    <t>2012-19</t>
  </si>
  <si>
    <t>SPACER CAMBER ADJUSTMENT 0.5 mm</t>
  </si>
  <si>
    <t>2012-20</t>
  </si>
  <si>
    <t>SPACER CAMBER ADJUSTMENT 1.0 mm</t>
  </si>
  <si>
    <t>2012-21</t>
  </si>
  <si>
    <t>SPACER CAMBER ADJUSTMENT 2.0 mm</t>
  </si>
  <si>
    <t>2012-22</t>
  </si>
  <si>
    <t>UPPER FRONT WISHBONE</t>
  </si>
  <si>
    <t>2012-23</t>
  </si>
  <si>
    <t>HEADLESS SCREW M4X4</t>
  </si>
  <si>
    <t>2012-24</t>
  </si>
  <si>
    <t>PIVOT END WISHBONE</t>
  </si>
  <si>
    <t>2012-25</t>
  </si>
  <si>
    <t>PAN-HEAD SCREW M6X25 AND WASHER</t>
  </si>
  <si>
    <t>2012-26</t>
  </si>
  <si>
    <t>SPACER CASTER ADJUSTMENT</t>
  </si>
  <si>
    <t>2012-27</t>
  </si>
  <si>
    <t>FIXING UPRIGHT SPECIAL SCREW</t>
  </si>
  <si>
    <t>2012-28</t>
  </si>
  <si>
    <t>STANDARD FRONT UPRIGHT</t>
  </si>
  <si>
    <t>2012-29</t>
  </si>
  <si>
    <t>STEERING LEVER LH</t>
  </si>
  <si>
    <t>2012-30</t>
  </si>
  <si>
    <t>STEERING LEVER RH</t>
  </si>
  <si>
    <t>2012-31</t>
  </si>
  <si>
    <t>SOCKET HEAD SCREWS M4X16</t>
  </si>
  <si>
    <t>2012-32</t>
  </si>
  <si>
    <t>BEARING 8X19X6</t>
  </si>
  <si>
    <t>2012-34</t>
  </si>
  <si>
    <t>FRONT AXEL WHEELS</t>
  </si>
  <si>
    <t>2012-35</t>
  </si>
  <si>
    <t>FIXING WHEEL NUT</t>
  </si>
  <si>
    <t>2012-36</t>
  </si>
  <si>
    <t>SQUARE WHEEL DRIVER 14 mm</t>
  </si>
  <si>
    <t>2012-37</t>
  </si>
  <si>
    <t>SQUARE WHEEL DRIVER 12,5 mm</t>
  </si>
  <si>
    <t>2012-39</t>
  </si>
  <si>
    <t>SCREW AND WASHER FIXING AXEL WHEELS</t>
  </si>
  <si>
    <t>2012-42</t>
  </si>
  <si>
    <t>SPHERICAL BEARING</t>
  </si>
  <si>
    <t>2012-43</t>
  </si>
  <si>
    <t>FLANGED SCREW M3X6</t>
  </si>
  <si>
    <t>2012-44</t>
  </si>
  <si>
    <t>SOCKET HEAD SCREWS M4X22</t>
  </si>
  <si>
    <t>2012-45</t>
  </si>
  <si>
    <t>LOWER PILOT ANTI-ROLL BAR SUPPORT</t>
  </si>
  <si>
    <t>2012-46</t>
  </si>
  <si>
    <t>SOCKET HEAD SCREW M3X8</t>
  </si>
  <si>
    <t>2012-47</t>
  </si>
  <si>
    <t>FRONT ANTI-ROLL BAR PLASTIC JOINT (SHORT)</t>
  </si>
  <si>
    <t>2012-48</t>
  </si>
  <si>
    <t>LOWER ANTI-ROLL BAR PILOT</t>
  </si>
  <si>
    <t>2012-49</t>
  </si>
  <si>
    <t>COUNTERSUNK SCREWS M3X8</t>
  </si>
  <si>
    <t>2012-50</t>
  </si>
  <si>
    <t>ANTI-ROLL BAR ADJUSTING SCREW RH-LH</t>
  </si>
  <si>
    <t>2012-51</t>
  </si>
  <si>
    <t>UPPER ANTI-ROLL BAR PILOT DIAMETER 5.5</t>
  </si>
  <si>
    <t>2012-52</t>
  </si>
  <si>
    <t>M4X16 SCREW FRONT DOWN STOP</t>
  </si>
  <si>
    <t>2012-53</t>
  </si>
  <si>
    <t>NYLON STOPPER FOR DOWN STOP</t>
  </si>
  <si>
    <t>2012-54</t>
  </si>
  <si>
    <t>LOWER WISHBONE SHAFT PIN</t>
  </si>
  <si>
    <t>2012-55</t>
  </si>
  <si>
    <t>FRONT ANTI-ROLL BAR DIAMETER 5.5</t>
  </si>
  <si>
    <t>2012-56</t>
  </si>
  <si>
    <t>BAR BARELL DIAM. 5.5</t>
  </si>
  <si>
    <t>2012-57</t>
  </si>
  <si>
    <t>HEADLESS SCREW M3X3</t>
  </si>
  <si>
    <t>2012-58</t>
  </si>
  <si>
    <t>FLANGED BEARING FOR ANTI-ROLL BAR</t>
  </si>
  <si>
    <t>2012-59</t>
  </si>
  <si>
    <t>FRONT AXLE MOUNT LH</t>
  </si>
  <si>
    <t>2012-60</t>
  </si>
  <si>
    <t>FRONT AXLE MOUNT RH</t>
  </si>
  <si>
    <t>2012-61</t>
  </si>
  <si>
    <t>WISHBONES PLASTIC BUSH</t>
  </si>
  <si>
    <t>2012-62</t>
  </si>
  <si>
    <t>PAN HEAD SCREWS M4X8</t>
  </si>
  <si>
    <t>2012-63</t>
  </si>
  <si>
    <t>STEERING ROD MM 88</t>
  </si>
  <si>
    <t>2012-64</t>
  </si>
  <si>
    <t>STEERING ROD MM 94</t>
  </si>
  <si>
    <t>2012-65</t>
  </si>
  <si>
    <t>STEERING AND REAR ANTI-ROLL BAR PLASTIC JOINT (LONG)</t>
  </si>
  <si>
    <t>2012-67</t>
  </si>
  <si>
    <t>PIVOT STEERING SPACER</t>
  </si>
  <si>
    <t>2012-68</t>
  </si>
  <si>
    <t>SERVO SAVER SHAFT</t>
  </si>
  <si>
    <t>2012-69</t>
  </si>
  <si>
    <t>SERVO SAVER BUSH</t>
  </si>
  <si>
    <t>2012-70</t>
  </si>
  <si>
    <t>SERVO SAVER ADJUSTEMENT NUT</t>
  </si>
  <si>
    <t>2012-71</t>
  </si>
  <si>
    <t>SERVO SAVER BELL SPRING 0.5 mm</t>
  </si>
  <si>
    <t>2012-72</t>
  </si>
  <si>
    <t>SERVO SAVER BELL SPRING 0.8 mm</t>
  </si>
  <si>
    <t>2012-73</t>
  </si>
  <si>
    <t>SERVO SAVER LOWER BODY</t>
  </si>
  <si>
    <t>2012-74</t>
  </si>
  <si>
    <t>SERVO SAVER UPPER BODY</t>
  </si>
  <si>
    <t>2012-75</t>
  </si>
  <si>
    <t>RETAINING RING SERVO SAVER</t>
  </si>
  <si>
    <t>2012-76</t>
  </si>
  <si>
    <t>COUNTERSUNK SCREW M4X12</t>
  </si>
  <si>
    <t>2012-77</t>
  </si>
  <si>
    <t>RADIO PLATE CONNECTION TRIANGLE</t>
  </si>
  <si>
    <t>2012-78</t>
  </si>
  <si>
    <t>PAN-HEAD SCREW M3X6</t>
  </si>
  <si>
    <t>2012-79</t>
  </si>
  <si>
    <t>RADIO PLATE SPACER COLUMN</t>
  </si>
  <si>
    <t>2012-82</t>
  </si>
  <si>
    <t>PAN-HEAD SCREW M4X10</t>
  </si>
  <si>
    <t>2012-83</t>
  </si>
  <si>
    <t>RECEIVER BOX</t>
  </si>
  <si>
    <t>2012-84</t>
  </si>
  <si>
    <t>COMPLETE FUEL TANK 700 cc</t>
  </si>
  <si>
    <t>2012-85</t>
  </si>
  <si>
    <t>ALUMINIUM SIDE REINFORCING CHASSIS</t>
  </si>
  <si>
    <t>2012-86</t>
  </si>
  <si>
    <t>PLASTIC SIDE BODY MOUNT LONG</t>
  </si>
  <si>
    <t>2012-86/P</t>
  </si>
  <si>
    <t>PLASTIC SIDE BODY MOUNT Porsche GT3 RS</t>
  </si>
  <si>
    <t>2012-88</t>
  </si>
  <si>
    <t>CARBON FIBER SIDE GUARDS</t>
  </si>
  <si>
    <t>2012-89</t>
  </si>
  <si>
    <t>COUNTERSUNK SCREW M4X25</t>
  </si>
  <si>
    <t>2012-90</t>
  </si>
  <si>
    <t>COUNTERSUNK SCREW M4X16</t>
  </si>
  <si>
    <t>2012-92</t>
  </si>
  <si>
    <t>OUTER FLANGE CLUTCH SHAFT SUPPORT</t>
  </si>
  <si>
    <t>2012-93</t>
  </si>
  <si>
    <t>BEARING 10X19X5</t>
  </si>
  <si>
    <t>2012-94</t>
  </si>
  <si>
    <t>CLUTCH SUPPORT SPACER COLUMN</t>
  </si>
  <si>
    <t>2012-95</t>
  </si>
  <si>
    <t>CLUTCH SHAFT</t>
  </si>
  <si>
    <t>2012-96</t>
  </si>
  <si>
    <t>PINION RETAINING RING</t>
  </si>
  <si>
    <t>2012-97</t>
  </si>
  <si>
    <t>CLUTCH PINION Z 36</t>
  </si>
  <si>
    <t>2012-98</t>
  </si>
  <si>
    <t>CLUTCH PINION Z 37</t>
  </si>
  <si>
    <t>2012-99</t>
  </si>
  <si>
    <t>CLUTCH PINION Z 35</t>
  </si>
  <si>
    <t>2012-100</t>
  </si>
  <si>
    <t>RETAINING RING FOR BELL CLUTCH</t>
  </si>
  <si>
    <t>2012-101</t>
  </si>
  <si>
    <t>BELL CLUTCH</t>
  </si>
  <si>
    <t>2012-102</t>
  </si>
  <si>
    <t>HEADLESS SCREW FOR CLUTCH FITTING</t>
  </si>
  <si>
    <t>2012-103</t>
  </si>
  <si>
    <t>ENGINE MOUNTING SUPPORT</t>
  </si>
  <si>
    <t>2012-104</t>
  </si>
  <si>
    <t>PAN-HEAD SCREW M5X12</t>
  </si>
  <si>
    <t>2012-105</t>
  </si>
  <si>
    <t>COUNTERSUNK SCREW M5X12</t>
  </si>
  <si>
    <t>2012-106</t>
  </si>
  <si>
    <t>SPECIAL WHASER FOR ENGINE FASTENING</t>
  </si>
  <si>
    <t>2012-107</t>
  </si>
  <si>
    <t>GEARWELL RETAINIG RING</t>
  </si>
  <si>
    <t>2012-108</t>
  </si>
  <si>
    <t>GEARWELL Z 64</t>
  </si>
  <si>
    <t>2012-109</t>
  </si>
  <si>
    <t>SECOND SHAFT</t>
  </si>
  <si>
    <t>2012-110</t>
  </si>
  <si>
    <t>SECOND SHAFT BEARING</t>
  </si>
  <si>
    <t>2012-111</t>
  </si>
  <si>
    <t>SECIND SHAFT SUPPORT FLANGE</t>
  </si>
  <si>
    <t>2012-112</t>
  </si>
  <si>
    <t>SECOND SHAFT PINION Z 24</t>
  </si>
  <si>
    <t>2012-113</t>
  </si>
  <si>
    <t>REAR AXLE MOUNT LH</t>
  </si>
  <si>
    <t>2012-114</t>
  </si>
  <si>
    <t>DIFFERENTIAL BEARING SUPPORT</t>
  </si>
  <si>
    <t>2012-115</t>
  </si>
  <si>
    <t>REAR UPPER WHISBONE SHAFT</t>
  </si>
  <si>
    <t>2012-116</t>
  </si>
  <si>
    <t>REAR UPPER WHISBONE</t>
  </si>
  <si>
    <t>2012-117</t>
  </si>
  <si>
    <t>REAR UPRIGHT LH</t>
  </si>
  <si>
    <t>2012-118</t>
  </si>
  <si>
    <t>REAR UPRIGHT RH</t>
  </si>
  <si>
    <t>2012-120</t>
  </si>
  <si>
    <t>REAR UPRIGHT BEARINGS SPACER</t>
  </si>
  <si>
    <t>2012-121</t>
  </si>
  <si>
    <t>REAR WHEEL DRIVER SQUARE 11.5 mm</t>
  </si>
  <si>
    <t>2012-122</t>
  </si>
  <si>
    <t>REAR DRIVING AXLE</t>
  </si>
  <si>
    <t>2012-123</t>
  </si>
  <si>
    <t>REAR TOE IN PLASTIC BUSH 1° - 3°</t>
  </si>
  <si>
    <t>2012-124</t>
  </si>
  <si>
    <t>REAR TOE IN PLASTIC BUSH 1.5° - 2.5°</t>
  </si>
  <si>
    <t>2012-125</t>
  </si>
  <si>
    <t>REAR TOE IN PLASTIC BUSH 2°</t>
  </si>
  <si>
    <t>2012-126</t>
  </si>
  <si>
    <t>REAR TOE IN PLASTIC BUSH 3.5° - 0.5°</t>
  </si>
  <si>
    <t>2012-127</t>
  </si>
  <si>
    <t>REAR TOE IN PLASTIC BUSH 4.5°</t>
  </si>
  <si>
    <t>2012-128</t>
  </si>
  <si>
    <t>REAR TOE IN PLASTIC BUSH 4°</t>
  </si>
  <si>
    <t>2012-129</t>
  </si>
  <si>
    <t>REAR LOWER UPRIGHT SHAFT</t>
  </si>
  <si>
    <t>2012-130</t>
  </si>
  <si>
    <t>REAR LOWER WISHBONE LH</t>
  </si>
  <si>
    <t>2012-131</t>
  </si>
  <si>
    <t>REAR LOWER WISHBONE RH</t>
  </si>
  <si>
    <t>2012-132</t>
  </si>
  <si>
    <t>DRIVE SHAFT</t>
  </si>
  <si>
    <t>2012-133</t>
  </si>
  <si>
    <t>BALLS FOR DRIVE SHAFT</t>
  </si>
  <si>
    <t>2012-134</t>
  </si>
  <si>
    <t>REAR LOWER MOUNT SHOCK FORK</t>
  </si>
  <si>
    <t>2012-135</t>
  </si>
  <si>
    <t>ANTI-ROLL BAR UPPER PIVOT DIAM. 5 mm</t>
  </si>
  <si>
    <t>2012-136</t>
  </si>
  <si>
    <t>ANTI-ROLL BAR BARREL DIAM. 5 mm</t>
  </si>
  <si>
    <t>2012-137</t>
  </si>
  <si>
    <t>REAR ANTI-ROLL BAR DIAM. 5 mm</t>
  </si>
  <si>
    <t>2012-138</t>
  </si>
  <si>
    <t>M4X20 SCREW REAR DOWN STOP</t>
  </si>
  <si>
    <t>2012-139</t>
  </si>
  <si>
    <t>REAR UPPER SHOCK MOUNT</t>
  </si>
  <si>
    <t>2012-140</t>
  </si>
  <si>
    <t>COUNTERSUNK SCREW M4X14</t>
  </si>
  <si>
    <t>2012-141</t>
  </si>
  <si>
    <t>PIN 4X10</t>
  </si>
  <si>
    <t>2012-142</t>
  </si>
  <si>
    <t>COUNTERSUNK SCREW M4X10</t>
  </si>
  <si>
    <t>2012-143</t>
  </si>
  <si>
    <t>UPPER PIN REAR SHOCK FIXING</t>
  </si>
  <si>
    <t>2012-144</t>
  </si>
  <si>
    <t>RETAINER RING FOR SHOCKS</t>
  </si>
  <si>
    <t>2012-145</t>
  </si>
  <si>
    <t>SOCKET HEAD SCREW M4X20</t>
  </si>
  <si>
    <t>2012-146</t>
  </si>
  <si>
    <t>REAR BODY SUPPORT BRACKET</t>
  </si>
  <si>
    <t>2012-147</t>
  </si>
  <si>
    <t>CARBON FIBER REAR BODY SUPPORT</t>
  </si>
  <si>
    <t>2012-148</t>
  </si>
  <si>
    <t>REAR BODY MOUNT COLUMN</t>
  </si>
  <si>
    <t>2012-149</t>
  </si>
  <si>
    <t>COUNTERSUNK SCREW M5X18</t>
  </si>
  <si>
    <t>2012-150</t>
  </si>
  <si>
    <t>REAR MOUNTS SPACER</t>
  </si>
  <si>
    <t>2012-151</t>
  </si>
  <si>
    <t>REAR AXLE MOUNT RH</t>
  </si>
  <si>
    <t>2012-152</t>
  </si>
  <si>
    <t>CARBON FIBER BATTERY SUPPORT</t>
  </si>
  <si>
    <t>2012-153</t>
  </si>
  <si>
    <t>DIFFERENTIAL GEARWELL Z 73</t>
  </si>
  <si>
    <t>2012-154</t>
  </si>
  <si>
    <t>SECOND SHAFT PINION Z 25</t>
  </si>
  <si>
    <t>2012-155</t>
  </si>
  <si>
    <t>PROTECTIVE BELLOW</t>
  </si>
  <si>
    <t>2012-163</t>
  </si>
  <si>
    <t>DRIVE SHAFT RUBBER PADS</t>
  </si>
  <si>
    <t>2012-166</t>
  </si>
  <si>
    <t>CARBON FIBER PIPE SUPPORT</t>
  </si>
  <si>
    <t>2012-170</t>
  </si>
  <si>
    <t>SERVO SAVER SPHERICAL JOINT LONG</t>
  </si>
  <si>
    <t>2012-172</t>
  </si>
  <si>
    <t>RETAINING BRAKE LINE</t>
  </si>
  <si>
    <t>2012-175</t>
  </si>
  <si>
    <t>DIFFERENTIAL BEARING 15/24/5</t>
  </si>
  <si>
    <t>2012-177</t>
  </si>
  <si>
    <t>COMPLETE STEERING STOPPER</t>
  </si>
  <si>
    <t>2012-178</t>
  </si>
  <si>
    <t>FRONT UPRIGHT -3 RH</t>
  </si>
  <si>
    <t>2012-179</t>
  </si>
  <si>
    <t>FRONT UPRIGHT -3 LH</t>
  </si>
  <si>
    <t>2012-185</t>
  </si>
  <si>
    <t>STEERING PIVOT DIAM. 4mm</t>
  </si>
  <si>
    <t>2012-186</t>
  </si>
  <si>
    <t>PAN-HEAD SCREW M4X16</t>
  </si>
  <si>
    <t>2012-187</t>
  </si>
  <si>
    <t>PIVOT END WISHBONE SHORT</t>
  </si>
  <si>
    <t>2012-188</t>
  </si>
  <si>
    <t>COUNTERSUNK SCREW M4X8</t>
  </si>
  <si>
    <t>2012-189</t>
  </si>
  <si>
    <t>SCREWS MOUNT BODYSHELL COLUMN</t>
  </si>
  <si>
    <t>2012-190</t>
  </si>
  <si>
    <t>PAN-HEAD SCREW M6X18 AND WASHER</t>
  </si>
  <si>
    <t>2012-192</t>
  </si>
  <si>
    <t>FRONT ANTI-ROLL BAR DIAM. 6 mm</t>
  </si>
  <si>
    <t>2012-193</t>
  </si>
  <si>
    <t>ANTI-ROLL BAR BARREL DIAM. 6 mm</t>
  </si>
  <si>
    <t>2012-194</t>
  </si>
  <si>
    <t>REAR ANTI-ROLL BAR DIAM. 5,5 mm</t>
  </si>
  <si>
    <t>2012-195</t>
  </si>
  <si>
    <t>FRONT WEIGHT</t>
  </si>
  <si>
    <t>2012-196</t>
  </si>
  <si>
    <t>MEDIUM WEIGHT</t>
  </si>
  <si>
    <t>2012-197</t>
  </si>
  <si>
    <t>CENTRAL WEIGHT</t>
  </si>
  <si>
    <t>2012-198</t>
  </si>
  <si>
    <t>FRONT UPRIGHT BEARING SPACER</t>
  </si>
  <si>
    <t>2012-199</t>
  </si>
  <si>
    <t>FRONT UPRIGHT STANDARD SPACER</t>
  </si>
  <si>
    <t>2012-200</t>
  </si>
  <si>
    <t>FRONT UPRIGHT MEDIUM SPACER -2</t>
  </si>
  <si>
    <t>2012-201</t>
  </si>
  <si>
    <t>FRONT UPRIGHT SHORT SPACER -4</t>
  </si>
  <si>
    <t>2012-202</t>
  </si>
  <si>
    <t>FRONT NEW BRAKE HUB STANDARD 14mm</t>
  </si>
  <si>
    <t>2012-203</t>
  </si>
  <si>
    <t>FRONT NEW BRAKE HUB STANDARD 12mm</t>
  </si>
  <si>
    <t>2012-204</t>
  </si>
  <si>
    <t>REAR NEW BRAKE HUB STANDARD 11,5mm</t>
  </si>
  <si>
    <t>2012-205</t>
  </si>
  <si>
    <t>NEW BRAKE DISK 2015</t>
  </si>
  <si>
    <t>2012-206</t>
  </si>
  <si>
    <t>STEERING PIVOT DIAM. 3 mm</t>
  </si>
  <si>
    <t>2012-208</t>
  </si>
  <si>
    <t>SERVOSAVER ROD M4XL52 mm</t>
  </si>
  <si>
    <t>2012-209</t>
  </si>
  <si>
    <t>COMPLETE JOINT HOLE DIAM. 3mm</t>
  </si>
  <si>
    <t>2012-210</t>
  </si>
  <si>
    <t>ENGINE BRACKET</t>
  </si>
  <si>
    <t>2012-211</t>
  </si>
  <si>
    <t>DIFFERENTIAL OUTER HUB</t>
  </si>
  <si>
    <t>2012-212</t>
  </si>
  <si>
    <t>GROOVED CHASSIS 530</t>
  </si>
  <si>
    <t>2012-213</t>
  </si>
  <si>
    <t>NEW BATTERY HOLDER SET</t>
  </si>
  <si>
    <t>2012-213V</t>
  </si>
  <si>
    <t>VELCRO FOR BATTERY SUPPORT</t>
  </si>
  <si>
    <t>2012-214</t>
  </si>
  <si>
    <t>CONVERSION KIT SHORT WHEELBASE FOR PORSCHE (RADIO PLATE DOUBLE SERVO)</t>
  </si>
  <si>
    <t>2012-215</t>
  </si>
  <si>
    <t>CONVERSION KIT SHORT WHEELBASE FOR PORSCHE (RADIO PLATE BIG SERVO)</t>
  </si>
  <si>
    <t>2012-216</t>
  </si>
  <si>
    <t>RADIO PLATE DOUBLE SERVO (FOR SHORT CAR)</t>
  </si>
  <si>
    <t>2012-217</t>
  </si>
  <si>
    <t>RADIO PLATE BIG SERVO (FOR SHORT CAR)</t>
  </si>
  <si>
    <t>2012-218</t>
  </si>
  <si>
    <t>REAR CARBON BODY SUPPORT (FOR PORSCHE BODYSHELL)</t>
  </si>
  <si>
    <t>2012-219</t>
  </si>
  <si>
    <t>REAR PLASTIC COLUMN SUPPORT (FOR PORSCHE BODYSHELL)</t>
  </si>
  <si>
    <t>2012-220</t>
  </si>
  <si>
    <t>RADIO PLATE SPACER 5th COLUMN</t>
  </si>
  <si>
    <t>2012-221</t>
  </si>
  <si>
    <t>LOWER ROLL BAR MOUNT LH 4 HOLES</t>
  </si>
  <si>
    <t>2012-222</t>
  </si>
  <si>
    <t>LOWER ROLL BAR MOUNT RH 4 HOLES</t>
  </si>
  <si>
    <t>2012-223</t>
  </si>
  <si>
    <t>CLUTCH PINION Z34</t>
  </si>
  <si>
    <t>2012-224</t>
  </si>
  <si>
    <t>FRONT END KIT 2017</t>
  </si>
  <si>
    <t>2012-225</t>
  </si>
  <si>
    <t>NEW MEDIUM WEIGHT</t>
  </si>
  <si>
    <t>2012-226</t>
  </si>
  <si>
    <t>MEDIUM WEIGHT FOR SHORT CHASSIS</t>
  </si>
  <si>
    <t>2012-227</t>
  </si>
  <si>
    <t>COMPLETE REAR ANTI-ROLL BAR KIT 2017</t>
  </si>
  <si>
    <t>2012-228</t>
  </si>
  <si>
    <t>COMPLETE SERVO SAVER</t>
  </si>
  <si>
    <t>2012-229</t>
  </si>
  <si>
    <t>FRONT LOWER WISHBONE LH 2017</t>
  </si>
  <si>
    <t>2012-230</t>
  </si>
  <si>
    <t>FRONT LOWER WISHBONE RH 2017</t>
  </si>
  <si>
    <t>2012-231</t>
  </si>
  <si>
    <t>FRONT AXLE MOUNT LH 2017</t>
  </si>
  <si>
    <t>2012-232</t>
  </si>
  <si>
    <t>FRONT AXLE MOUNT RH 2017</t>
  </si>
  <si>
    <t>2012-233</t>
  </si>
  <si>
    <t>CARBON FIBER FRONT MOUNT PLATE 2017</t>
  </si>
  <si>
    <t>2012-234</t>
  </si>
  <si>
    <t>FRONT SHOCK SUPPORT 2017</t>
  </si>
  <si>
    <t>2012-235</t>
  </si>
  <si>
    <t>RADIO PLATE CONNECTION TRIANGLE 2017</t>
  </si>
  <si>
    <t>2012-236</t>
  </si>
  <si>
    <t>PLASTIC SPACER FOR CONNECTION TRIANGLE 2017</t>
  </si>
  <si>
    <t>2012-237</t>
  </si>
  <si>
    <t>DOUBLE SERVO RADIO PLATE 2017</t>
  </si>
  <si>
    <t>2012-238</t>
  </si>
  <si>
    <t>SERVO SAVER SHAFT 2017</t>
  </si>
  <si>
    <t>2012-239</t>
  </si>
  <si>
    <t>SERVO SAVER BUSH 2017</t>
  </si>
  <si>
    <t>2012-240</t>
  </si>
  <si>
    <t>SERVO SAVER ADJUSTEMENT NUT 2017</t>
  </si>
  <si>
    <t>2012-241</t>
  </si>
  <si>
    <t>SERVO SAVER NUT O RING 2017</t>
  </si>
  <si>
    <t>2012-242</t>
  </si>
  <si>
    <t>SERVO SAVER SPRING 2,6 MM</t>
  </si>
  <si>
    <t>2012-244</t>
  </si>
  <si>
    <t>SERVO SAVER LOWER BODY 2017</t>
  </si>
  <si>
    <t>2012-245</t>
  </si>
  <si>
    <t>SERVO SAVER END 4 HOLES 2017</t>
  </si>
  <si>
    <t>2012-246</t>
  </si>
  <si>
    <t>SERVO SAVER END 6 HOLES 2017</t>
  </si>
  <si>
    <t>2012-248</t>
  </si>
  <si>
    <t>SERVO SAVER UPPER BODY 2017</t>
  </si>
  <si>
    <t>2012-249</t>
  </si>
  <si>
    <t>TITANIUM FRONT ANTI ROLL BAR KIT 2017</t>
  </si>
  <si>
    <t>2012-250</t>
  </si>
  <si>
    <t>TITANIUM FRONT ANTI ROLL BAR AXLE 2017</t>
  </si>
  <si>
    <t>2012-251</t>
  </si>
  <si>
    <t>BODY MOUNT ANTIROLL BAR BLADE LH</t>
  </si>
  <si>
    <t>2012-252</t>
  </si>
  <si>
    <t>BODY MOUNT ANTIROLL BAR BLADE RH</t>
  </si>
  <si>
    <t>2012-253</t>
  </si>
  <si>
    <t>TITANIUM BLADE ANTIROLL BAR 2,75 MM</t>
  </si>
  <si>
    <t>2012-254</t>
  </si>
  <si>
    <t>TITANIUM BLADE ANTIROLL BAR 2,5 MM</t>
  </si>
  <si>
    <t>2012-255</t>
  </si>
  <si>
    <t>TITANIUM BLADE ANTIROLL BAR 2,00 MM</t>
  </si>
  <si>
    <t>2012-256</t>
  </si>
  <si>
    <t>TITANIUM BLADE ANTIROLL BAR 1,75 MM</t>
  </si>
  <si>
    <t>2012-257</t>
  </si>
  <si>
    <t>TITANIUM BLADE ANTIROLL BAR 2,25 MM</t>
  </si>
  <si>
    <t>2012-258</t>
  </si>
  <si>
    <t>TITANIUM BLADE ANTIROLL BAR 1,5 MM</t>
  </si>
  <si>
    <t>2012-259</t>
  </si>
  <si>
    <t>TITANIUM REAR ANTIROLL BAR AXLE</t>
  </si>
  <si>
    <t>2012-260</t>
  </si>
  <si>
    <t>TITANIUM BLADE ANTIROLL BAR 3,00 MM</t>
  </si>
  <si>
    <t>2012-262</t>
  </si>
  <si>
    <t>SERVO SAVER HOLDER</t>
  </si>
  <si>
    <t>2012-263</t>
  </si>
  <si>
    <t>LOWER REAR SHOCK MOUNT KIT</t>
  </si>
  <si>
    <t>2012-264</t>
  </si>
  <si>
    <t>REAR LONG LOWER SHOCK FORK 3 HOLES</t>
  </si>
  <si>
    <t>2012-265</t>
  </si>
  <si>
    <t>COMPLETE ADJUSTABLE KIT FRONT LOWER ENGINE MOUNT</t>
  </si>
  <si>
    <t>2012-266</t>
  </si>
  <si>
    <t>FRONT LOWER ENGINE MOUNT KIT</t>
  </si>
  <si>
    <t>2012-267</t>
  </si>
  <si>
    <t>RADIO PLATE 2019 FOR 3 STANDARD SERVO</t>
  </si>
  <si>
    <t>2012-268</t>
  </si>
  <si>
    <t>OVAL BUSH</t>
  </si>
  <si>
    <t>2012-269</t>
  </si>
  <si>
    <t>ENGINE SUPPORT SPACER</t>
  </si>
  <si>
    <t>2012-270</t>
  </si>
  <si>
    <t>SIDE STIFFENER CHASSIS 2017 LH, RH</t>
  </si>
  <si>
    <t>2012-271</t>
  </si>
  <si>
    <t>CARBON FIBER PIPE SUPPORT FOR SAMBA 8</t>
  </si>
  <si>
    <t>2012-272</t>
  </si>
  <si>
    <t>CARBON FIBER SUPPORT FOR FUEL RECOVERY</t>
  </si>
  <si>
    <t>2012-273</t>
  </si>
  <si>
    <t>NEW FRONT UPRIGHT</t>
  </si>
  <si>
    <t>2012-274</t>
  </si>
  <si>
    <t>NEW BAG FOR LARGE SCALE MODEL</t>
  </si>
  <si>
    <t>2012-275</t>
  </si>
  <si>
    <t>BODYSHELL SUPPORT, SUITABLE FOR SAMBA 7 AND SAMBA 8</t>
  </si>
  <si>
    <t>2012-276</t>
  </si>
  <si>
    <t>NEW ACCESSORIES BAG</t>
  </si>
  <si>
    <t>2012-277</t>
  </si>
  <si>
    <t>CAR COVER</t>
  </si>
  <si>
    <t>2012-278</t>
  </si>
  <si>
    <t>LEFT SIDE BRACE</t>
  </si>
  <si>
    <t>2012-279</t>
  </si>
  <si>
    <t>FUEL TANK PLASTIC BOTTLE ONLY</t>
  </si>
  <si>
    <t>2012-280</t>
  </si>
  <si>
    <t>PERFORMANCE KIT</t>
  </si>
  <si>
    <t>2012-280SH</t>
  </si>
  <si>
    <t>PERFORMANCE KIT SHORT</t>
  </si>
  <si>
    <t>2012-281</t>
  </si>
  <si>
    <t>LOWER ROLL BAR MOUNT LH 3 HOLES 2019</t>
  </si>
  <si>
    <t>2012-282</t>
  </si>
  <si>
    <t>LOWER ROLL BAR MOUNT RH 3 HOLES 2019</t>
  </si>
  <si>
    <t>2012-283</t>
  </si>
  <si>
    <t>CHASSIS SHORT</t>
  </si>
  <si>
    <t>2012-284</t>
  </si>
  <si>
    <t>SHORT CHASSIS CONVERSION KIT DOUBLE SERVO RADIO PLATE</t>
  </si>
  <si>
    <t>2012-285</t>
  </si>
  <si>
    <t>SHORT CHASSIS CONVERSION KIT SINGLE SERVO RADIO PLATE</t>
  </si>
  <si>
    <t>2012-286</t>
  </si>
  <si>
    <t>DOUBLE SERVO RADIO PLATE FOR SHORT CHASSIS</t>
  </si>
  <si>
    <t>2012-287</t>
  </si>
  <si>
    <t>SINGLE SERVO RADIO PLATE FOR SHORT CHASSIS</t>
  </si>
  <si>
    <t>2012-288</t>
  </si>
  <si>
    <t>RECEIVER BOX FOR SHORT CHASSIS</t>
  </si>
  <si>
    <t>2012-289</t>
  </si>
  <si>
    <t>SERVO SAVER ROD M4XL44 mm</t>
  </si>
  <si>
    <t>2012-290</t>
  </si>
  <si>
    <t>WEIGHT KIT FOR PIPE SUPPORT</t>
  </si>
  <si>
    <t>2012-291</t>
  </si>
  <si>
    <t>STICKERS</t>
  </si>
  <si>
    <t>2012-292</t>
  </si>
  <si>
    <t>FIXING UPRIGHT SPECIAL M5X16 mm</t>
  </si>
  <si>
    <t>2012-293</t>
  </si>
  <si>
    <t>FIXING UPRIGHT SPECIAL M5X18 mm</t>
  </si>
  <si>
    <t>2012-294</t>
  </si>
  <si>
    <t>FIXING UPRIGHT SPECIAL M5X25 mm</t>
  </si>
  <si>
    <t>2012-300</t>
  </si>
  <si>
    <t>SHORT CAR FOR MECATECH ENGINE (WITH DOUBLE SERVO RADIO TRAY)</t>
  </si>
  <si>
    <t>2012-301</t>
  </si>
  <si>
    <t>SHORT CAR FOR MECATECH ENGINE (WITH SINGLE SERVO RADIO TRAY)</t>
  </si>
  <si>
    <t>2012-302</t>
  </si>
  <si>
    <t>CONVERSION KIT CHASSIS FOR MECATECH ENGINE</t>
  </si>
  <si>
    <t>2012-303</t>
  </si>
  <si>
    <t>PERFORMANCE KIT FOR MECATECH ENGINE CAR</t>
  </si>
  <si>
    <t>2012-304</t>
  </si>
  <si>
    <t>NEW CENTRAL WEIGHT FOR MECATECH ENGINE CHASSIS</t>
  </si>
  <si>
    <t>2012-305</t>
  </si>
  <si>
    <t>SPACER REAR MOUNT FOR MECATECH ENGINE CHASSIS</t>
  </si>
  <si>
    <t>2012-306</t>
  </si>
  <si>
    <t>REAR AXLE MOUNT LH FOR MECATECH ENGINE CAR</t>
  </si>
  <si>
    <t>2012-307</t>
  </si>
  <si>
    <t>REAR AXLE MOUNT RH FOR MECATECH ENGINE CAR</t>
  </si>
  <si>
    <t>2012-308</t>
  </si>
  <si>
    <t>SHORT CHASSIS PLATE FOR MECATECH ENGINE</t>
  </si>
  <si>
    <t>2012-309</t>
  </si>
  <si>
    <t>COUNTERSUNK SCREW M5X14</t>
  </si>
  <si>
    <t>2012-310</t>
  </si>
  <si>
    <t>SOCKET HEAD SCREW M4X10</t>
  </si>
  <si>
    <t>2012-311</t>
  </si>
  <si>
    <t>ENGINE BAG</t>
  </si>
  <si>
    <t>2012-312</t>
  </si>
  <si>
    <t>CARBON REAR SUPPORT FOR PORSCHE GT3</t>
  </si>
  <si>
    <t>2012-313</t>
  </si>
  <si>
    <t>FLAT REAR ROLL-BAR SHAFT</t>
  </si>
  <si>
    <t>TW-01</t>
  </si>
  <si>
    <t>T-SHIRT</t>
  </si>
  <si>
    <t>TW-02</t>
  </si>
  <si>
    <t>SWEATSHIRT</t>
  </si>
  <si>
    <t>TW-03</t>
  </si>
  <si>
    <t>WINTER CAP</t>
  </si>
  <si>
    <t>TW-04</t>
  </si>
  <si>
    <t>WINTER JACKET</t>
  </si>
  <si>
    <t>TW-06</t>
  </si>
  <si>
    <t>FLEECE</t>
  </si>
  <si>
    <t>TW-07</t>
  </si>
  <si>
    <t>LIGHT JACKET</t>
  </si>
  <si>
    <t>TW-08</t>
  </si>
  <si>
    <t>TOWEL</t>
  </si>
  <si>
    <t>TW-09</t>
  </si>
  <si>
    <t>BERMUDA SHORT</t>
  </si>
  <si>
    <t>TW-10</t>
  </si>
  <si>
    <t>SET UP BOARD</t>
  </si>
  <si>
    <t>TW-11</t>
  </si>
  <si>
    <t>CUSTOMIZABLE SET UP BOARD</t>
  </si>
  <si>
    <t>HOODIE SWEATSHIRT</t>
  </si>
  <si>
    <t>Name</t>
  </si>
  <si>
    <t>2012-261</t>
  </si>
  <si>
    <t>USA Tax</t>
  </si>
  <si>
    <t>Total in USA</t>
  </si>
  <si>
    <t>EU to USD</t>
  </si>
  <si>
    <t>Cost in USA (usd)</t>
  </si>
  <si>
    <t>Victor</t>
  </si>
  <si>
    <t>Final Cost in USA</t>
  </si>
  <si>
    <t>Shipping</t>
  </si>
  <si>
    <t>2009</t>
  </si>
  <si>
    <t>KLÍK SHOCKS KIT</t>
  </si>
  <si>
    <t>2011</t>
  </si>
  <si>
    <t>SILICON SHOCKS KIT</t>
  </si>
  <si>
    <t>2019</t>
  </si>
  <si>
    <t>VARIABLE FLOW SHOCKS KIT</t>
  </si>
  <si>
    <t>2019-10</t>
  </si>
  <si>
    <t>STANDARD TO VARIABLE FLOW KIT</t>
  </si>
  <si>
    <t>2019-11</t>
  </si>
  <si>
    <t>VARIABLE FLOW SHOCKS BODY ONLY</t>
  </si>
  <si>
    <t>2019-12</t>
  </si>
  <si>
    <t>VARIABLE FLOW PISTO</t>
  </si>
  <si>
    <t>2009-00</t>
  </si>
  <si>
    <t>SPRING SOFT GREEN 2.4</t>
  </si>
  <si>
    <t>2009-01</t>
  </si>
  <si>
    <t>SPRING SOFT ORANGE 2.5</t>
  </si>
  <si>
    <t>2009-02</t>
  </si>
  <si>
    <t>SPRING SOFT BLUE 2.6</t>
  </si>
  <si>
    <t>2009-03</t>
  </si>
  <si>
    <t>SPRING MEDIUM RED 2.7</t>
  </si>
  <si>
    <t>2009-04</t>
  </si>
  <si>
    <t>SPRING HARD YELLOW 2.8</t>
  </si>
  <si>
    <t>2009-05</t>
  </si>
  <si>
    <t>KIT WITH 6 SPRINGS 2BLUE,2RED,2YELLOW</t>
  </si>
  <si>
    <t>2009-06W5</t>
  </si>
  <si>
    <t>BOTTLE OIL FOR KLÍK SHOCKS</t>
  </si>
  <si>
    <t>2009-06W2,5</t>
  </si>
  <si>
    <t>2009-06W7,5</t>
  </si>
  <si>
    <t>2009-06W10</t>
  </si>
  <si>
    <t>2009-07</t>
  </si>
  <si>
    <t>2009-08</t>
  </si>
  <si>
    <t>2009-09</t>
  </si>
  <si>
    <t>2009-11</t>
  </si>
  <si>
    <t>2009-12</t>
  </si>
  <si>
    <t>2009-13</t>
  </si>
  <si>
    <t>2009-14</t>
  </si>
  <si>
    <t>2009-15</t>
  </si>
  <si>
    <t>2009-16</t>
  </si>
  <si>
    <t>2009-17</t>
  </si>
  <si>
    <t>2009-18</t>
  </si>
  <si>
    <t>2009-19</t>
  </si>
  <si>
    <t>2009-20</t>
  </si>
  <si>
    <t>2009-21</t>
  </si>
  <si>
    <t>2009-22</t>
  </si>
  <si>
    <t>2009-23</t>
  </si>
  <si>
    <t>2009-24</t>
  </si>
  <si>
    <t>2009-25</t>
  </si>
  <si>
    <t>2009-26</t>
  </si>
  <si>
    <t>2009-27</t>
  </si>
  <si>
    <t>2009-28</t>
  </si>
  <si>
    <t>2009-29</t>
  </si>
  <si>
    <t>2009-30</t>
  </si>
  <si>
    <t>2009-31</t>
  </si>
  <si>
    <t>BOTTLE OIL FOR KLICK SHOCKS</t>
  </si>
  <si>
    <t>SPRING WHITE 2.9</t>
  </si>
  <si>
    <t>SPRING SILVER 3.0</t>
  </si>
  <si>
    <t>SPRING BLACK 2.3</t>
  </si>
  <si>
    <t>ASSEMBLED</t>
  </si>
  <si>
    <t>2009-36</t>
  </si>
  <si>
    <t>LONG SHOCK SHAFT END</t>
  </si>
  <si>
    <t>2009-39</t>
  </si>
  <si>
    <t>2009-41</t>
  </si>
  <si>
    <t>PISTON 1,4 HOLE</t>
  </si>
  <si>
    <t>2009-42</t>
  </si>
  <si>
    <t>GOLD COATED SHOCK ROD</t>
  </si>
  <si>
    <t>2009-43</t>
  </si>
  <si>
    <t>PISTON 1,5 HOLE</t>
  </si>
  <si>
    <t>2009-44</t>
  </si>
  <si>
    <t>PISTON 1,8 HOLE</t>
  </si>
  <si>
    <t>2009-2000</t>
  </si>
  <si>
    <t>SILICON OIL BOTTLE VISCOSITIES 2000</t>
  </si>
  <si>
    <t>2009-3000</t>
  </si>
  <si>
    <t>SILICON OIL BOTTLE VISCOSITIES 3000</t>
  </si>
  <si>
    <t>2009-4000</t>
  </si>
  <si>
    <t>SILICON OIL BOTTLE VISCOSITIES 4000</t>
  </si>
  <si>
    <t>2009-5000</t>
  </si>
  <si>
    <t>SILICON OIL BOTTLE VISCOSITIES 5000</t>
  </si>
  <si>
    <t>2009-6000</t>
  </si>
  <si>
    <t>SILICON OIL BOTTLE VISCOSITIES 6000</t>
  </si>
  <si>
    <t>2009-7000</t>
  </si>
  <si>
    <t>SILICON OIL BOTTLE VISCOSITIES 7000</t>
  </si>
  <si>
    <t>2009-8000</t>
  </si>
  <si>
    <t>SILICON OIL BOTTLE VISCOSITIES 8000</t>
  </si>
  <si>
    <t>2009-32</t>
  </si>
  <si>
    <t>2009-33</t>
  </si>
  <si>
    <t>2009-34</t>
  </si>
  <si>
    <t>2009-35</t>
  </si>
  <si>
    <t>2</t>
  </si>
  <si>
    <t>2020-03</t>
  </si>
  <si>
    <t>CLUTCH ADJUSTING TOOL</t>
  </si>
  <si>
    <t>2020-04</t>
  </si>
  <si>
    <t>TOOL TO PRELOAD CLUTCH ADJUSTMENT</t>
  </si>
  <si>
    <t>2020-05</t>
  </si>
  <si>
    <t>REPLACEMENT SHOES MIX 1 BIMATERIAL 2 ALLUMINIUM</t>
  </si>
  <si>
    <t>2020-07</t>
  </si>
  <si>
    <t>SPARE SPRINGS 2,4 mm</t>
  </si>
  <si>
    <t>2020-08</t>
  </si>
  <si>
    <t>CLUTCH BODY (for Mecatech, Genius, S88R, FBX)</t>
  </si>
  <si>
    <t>2020-09</t>
  </si>
  <si>
    <t>CLUTCH BODY (for RS5, Harm, FG)</t>
  </si>
  <si>
    <t>2020-10</t>
  </si>
  <si>
    <t>REPLACEMENT SHOES 3 ALLUMINIUM</t>
  </si>
  <si>
    <t>2020-11</t>
  </si>
  <si>
    <t>SPARE SPRINGS 2,5 mm</t>
  </si>
  <si>
    <t>2020-12</t>
  </si>
  <si>
    <t>CARBON PLATE</t>
  </si>
  <si>
    <t>2020-13</t>
  </si>
  <si>
    <t>SCREWS M3x8</t>
  </si>
  <si>
    <t>2020-14</t>
  </si>
  <si>
    <t>PRELOAD CAM</t>
  </si>
  <si>
    <t>2020-15</t>
  </si>
  <si>
    <t>RETAINING BUSH AND SCREW</t>
  </si>
  <si>
    <t>2020-16</t>
  </si>
  <si>
    <t>EJECTOR PIN</t>
  </si>
  <si>
    <t>2020-17</t>
  </si>
  <si>
    <t>CLUTCH MIX SHOES (for Mecatech, Genius, S88R, FBX)</t>
  </si>
  <si>
    <t>2020-18</t>
  </si>
  <si>
    <t>CLUTCH BIMATERIAL SHOES (for Mecatech, Genius, S88R, FBX)</t>
  </si>
  <si>
    <t>2020-19</t>
  </si>
  <si>
    <t>CLUTCH BIMATERIAL SHOES (for RS5, Harm, FG)</t>
  </si>
  <si>
    <t>2020-20</t>
  </si>
  <si>
    <t>BIMATERIAL SHOES, COMPLETE REPLACEMENT</t>
  </si>
  <si>
    <t>2020-22</t>
  </si>
  <si>
    <t>CLUTCH MIX SHOES (for RS5, Harm, FG)</t>
  </si>
  <si>
    <t>2020-23</t>
  </si>
  <si>
    <t>CLUTCH BIMATERIAL SHOES (for Mecatech TOP GUN engine)</t>
  </si>
  <si>
    <t>2020-24</t>
  </si>
  <si>
    <t>CLUTCH MIX SHOES (for Mecatech TOP GUN engine)</t>
  </si>
  <si>
    <t>2020-25</t>
  </si>
  <si>
    <t>CLUTCH BODY TOP GUN (for Mecatech TOP GUN engine)</t>
  </si>
  <si>
    <t>2020-26</t>
  </si>
  <si>
    <t>PRELOAD CAM TOP GUN (for Mecatech TOP GUN engine)</t>
  </si>
  <si>
    <t>2020-27</t>
  </si>
  <si>
    <t>Rain spare springs silver</t>
  </si>
  <si>
    <t>1001-F</t>
  </si>
  <si>
    <t>1001-R</t>
  </si>
  <si>
    <t>1000-LH (LEFT)</t>
  </si>
  <si>
    <t>1000-RH (RIGHT)</t>
  </si>
  <si>
    <t>1000-01</t>
  </si>
  <si>
    <t>1000-02</t>
  </si>
  <si>
    <t>1000-03</t>
  </si>
  <si>
    <t>1000-04</t>
  </si>
  <si>
    <t>1000-05</t>
  </si>
  <si>
    <t>1000-06</t>
  </si>
  <si>
    <t>1000-07</t>
  </si>
  <si>
    <t>1000-08</t>
  </si>
  <si>
    <t>1000-09</t>
  </si>
  <si>
    <t>1000-10</t>
  </si>
  <si>
    <t>1000-11</t>
  </si>
  <si>
    <t>1000-12</t>
  </si>
  <si>
    <t>1000-13</t>
  </si>
  <si>
    <t>1000-14</t>
  </si>
  <si>
    <t>1000-15</t>
  </si>
  <si>
    <t>1000-30-RH</t>
  </si>
  <si>
    <t>1000-31-LH</t>
  </si>
  <si>
    <t>1000-32</t>
  </si>
  <si>
    <t>1000-33</t>
  </si>
  <si>
    <t>1000-34</t>
  </si>
  <si>
    <t>1000-35</t>
  </si>
  <si>
    <t>1000-36</t>
  </si>
  <si>
    <t>1000-37</t>
  </si>
  <si>
    <t>1000-38</t>
  </si>
  <si>
    <t>1000-39</t>
  </si>
  <si>
    <t>1000-40</t>
  </si>
  <si>
    <t>1000-41</t>
  </si>
  <si>
    <t>1000-42</t>
  </si>
  <si>
    <t>1000-43</t>
  </si>
  <si>
    <t>1000-50-F</t>
  </si>
  <si>
    <t>1000-51-R</t>
  </si>
  <si>
    <t>1000-52</t>
  </si>
  <si>
    <t>1000-53</t>
  </si>
  <si>
    <t>PLASTIC T CONNECTOR</t>
  </si>
  <si>
    <t>PLASTIC CONNECTOR 45°</t>
  </si>
  <si>
    <t>GREEN OIL BOTTLE</t>
  </si>
  <si>
    <t>1000-54</t>
  </si>
  <si>
    <t>TUBE 1 METER</t>
  </si>
  <si>
    <t>1000-55</t>
  </si>
  <si>
    <t>REAR STEEL CONNECTOR</t>
  </si>
  <si>
    <t>1000-59</t>
  </si>
  <si>
    <t>NEW BRAKE PADS (2,4mm)</t>
  </si>
  <si>
    <t>1000-60</t>
  </si>
  <si>
    <t>COVER PLATE FOR 2,4mm PADS</t>
  </si>
  <si>
    <t>1000-62</t>
  </si>
  <si>
    <t>MEMBRANE MASTER CYLINDER DOT5 SILICON</t>
  </si>
  <si>
    <t>1000-63</t>
  </si>
  <si>
    <t>CONVERSION KIT FOR DOT5 SILICON</t>
  </si>
  <si>
    <t>1000-65</t>
  </si>
  <si>
    <t>RECOVERY SPACER</t>
  </si>
  <si>
    <t>1000-66</t>
  </si>
  <si>
    <t>BOTTLE DOT5 SILICON</t>
  </si>
  <si>
    <t>Español</t>
  </si>
  <si>
    <t>Peso en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</si>
</sst>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€-2]\ #,##0.00;[Red]\-[$€-2]\ #,##0.00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9" fontId="0" fillId="3" borderId="1" xfId="0" applyNumberForma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rbautneduar-my.sharepoint.com/personal/matigarcia_frba_utn_edu_ar/Documents/PC%20ESCRITORIO/MECATECH/LISTA%20DE%20PRECIOS%20(1).xlsx" TargetMode="External"/><Relationship Id="rId1" Type="http://schemas.openxmlformats.org/officeDocument/2006/relationships/externalLinkPath" Target="/personal/matigarcia_frba_utn_edu_ar/Documents/PC%20ESCRITORIO/MECATECH/LISTA%20DE%20PRECIO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ZGnhBHNBLUm_ADHbgFJChMVnIoTmgWlCrVrSbCrdIt1_1fulujH2SZ9qPaYfUyFC" itemId="01B67PYVFDZBJ452NNPZCIRXNWM2HZNEWP">
      <xxl21:absoluteUrl r:id="rId2"/>
    </xxl21:alternateUrls>
    <sheetNames>
      <sheetName val="PRECIOS FINALES"/>
      <sheetName val="Precios accesorios"/>
      <sheetName val="RULEMANES"/>
      <sheetName val="PRECIOS NUEVOS"/>
      <sheetName val="accesorios"/>
      <sheetName val="Pesos"/>
      <sheetName val="Actualizaciones CON AUTO"/>
      <sheetName val="Actualizaciones SOLAS"/>
      <sheetName val="Precios GENIUS"/>
      <sheetName val="HOJA DE CALCULO Mecatech"/>
      <sheetName val="Hoja1"/>
      <sheetName val="page 1"/>
      <sheetName val="page 2"/>
      <sheetName val="page 3"/>
      <sheetName val="page 4"/>
      <sheetName val="page 5"/>
      <sheetName val="page 6"/>
      <sheetName val="page 7"/>
      <sheetName val="page 8"/>
      <sheetName val="page 9"/>
      <sheetName val="page 10"/>
      <sheetName val="page 11"/>
      <sheetName val="page 12"/>
      <sheetName val="page 13"/>
      <sheetName val="page 14"/>
      <sheetName val="page 15"/>
      <sheetName val="Hoja4"/>
      <sheetName val="Genius brake"/>
    </sheetNames>
    <sheetDataSet>
      <sheetData sheetId="0"/>
      <sheetData sheetId="1"/>
      <sheetData sheetId="2"/>
      <sheetData sheetId="3">
        <row r="1">
          <cell r="A1" t="str">
            <v>CODE</v>
          </cell>
          <cell r="B1" t="str">
            <v>ingles</v>
          </cell>
          <cell r="C1" t="str">
            <v>castellano</v>
          </cell>
        </row>
        <row r="2">
          <cell r="A2" t="str">
            <v>2012</v>
          </cell>
          <cell r="B2" t="str">
            <v>COMPLETE CAR</v>
          </cell>
          <cell r="C2" t="str">
            <v>Auto completo con frenos y amortiguadores sin discos de freno de estrella</v>
          </cell>
        </row>
        <row r="3">
          <cell r="B3" t="str">
            <v>(WITH BRAKES AND SILICON SHOCKS)</v>
          </cell>
        </row>
        <row r="4">
          <cell r="A4" t="str">
            <v>2012-SH1</v>
          </cell>
          <cell r="B4" t="str">
            <v>COMPLETE SHORT CAR</v>
          </cell>
          <cell r="C4" t="str">
            <v>auto completo corto</v>
          </cell>
        </row>
        <row r="5">
          <cell r="B5" t="str">
            <v>(WITH BRAKES AND SILICON SHOCKS)</v>
          </cell>
        </row>
        <row r="6">
          <cell r="A6" t="str">
            <v>2012-SH2</v>
          </cell>
          <cell r="B6" t="str">
            <v>COMPLETE SHORT CAR</v>
          </cell>
        </row>
        <row r="7">
          <cell r="B7" t="str">
            <v>(WITH NEW HUB BRAKES AND SILICON</v>
          </cell>
        </row>
        <row r="8">
          <cell r="B8" t="str">
            <v>SHOCKS)</v>
          </cell>
        </row>
        <row r="9">
          <cell r="A9" t="str">
            <v>2012-04</v>
          </cell>
          <cell r="B9" t="str">
            <v>COMPLETE CAR</v>
          </cell>
        </row>
        <row r="10">
          <cell r="B10" t="str">
            <v>(WITH NEW HUB BRAKES AND SILICON</v>
          </cell>
        </row>
        <row r="11">
          <cell r="B11" t="str">
            <v>SHOCKS)</v>
          </cell>
        </row>
        <row r="12">
          <cell r="A12" t="str">
            <v>2012-04A</v>
          </cell>
          <cell r="B12" t="str">
            <v>COMPLETE CAR</v>
          </cell>
        </row>
        <row r="13">
          <cell r="B13" t="str">
            <v>(WITH NEW BRAKE HUB. SILICON SHOCKS</v>
          </cell>
        </row>
        <row r="14">
          <cell r="B14" t="str">
            <v>AND NEW BATTERY HOLDER SET)</v>
          </cell>
        </row>
        <row r="15">
          <cell r="A15" t="str">
            <v>2012-04B</v>
          </cell>
          <cell r="B15" t="str">
            <v>COMPLETE CAR</v>
          </cell>
          <cell r="C15" t="str">
            <v>auto full</v>
          </cell>
        </row>
        <row r="16">
          <cell r="B16" t="str">
            <v>(WITH NEW BRAKE HUB. SILICON SHOCKS.</v>
          </cell>
        </row>
        <row r="17">
          <cell r="B17" t="str">
            <v>NEW BATTERY HOLDER SET AND</v>
          </cell>
        </row>
        <row r="18">
          <cell r="B18" t="str">
            <v>REAR TITANIUM ANTI-ROLL BAR)</v>
          </cell>
        </row>
        <row r="19">
          <cell r="A19" t="str">
            <v>2012-06</v>
          </cell>
          <cell r="B19" t="str">
            <v>COMPLETE SET BUMPER</v>
          </cell>
          <cell r="C19" t="str">
            <v>bumper completo</v>
          </cell>
        </row>
        <row r="20">
          <cell r="A20" t="str">
            <v>2012-07</v>
          </cell>
          <cell r="B20" t="str">
            <v>PLASTIC SUPPORT  BUMPER</v>
          </cell>
          <cell r="C20" t="str">
            <v>plastico del bumper (solo)</v>
          </cell>
        </row>
        <row r="21">
          <cell r="A21" t="str">
            <v>2012-08</v>
          </cell>
          <cell r="B21" t="str">
            <v>FRONT BODY MOUNT</v>
          </cell>
          <cell r="C21" t="str">
            <v>palito de bumper</v>
          </cell>
        </row>
        <row r="22">
          <cell r="A22" t="str">
            <v>2012-09</v>
          </cell>
          <cell r="B22" t="str">
            <v>BUMPER FOAM</v>
          </cell>
          <cell r="C22" t="str">
            <v>goma del bumper</v>
          </cell>
        </row>
        <row r="23">
          <cell r="A23" t="str">
            <v>2012-10</v>
          </cell>
          <cell r="B23" t="str">
            <v>FASTENING STRIP FIXING BUMPER</v>
          </cell>
          <cell r="C23" t="str">
            <v>plasticos del bumper</v>
          </cell>
        </row>
        <row r="24">
          <cell r="A24" t="str">
            <v>2012-11</v>
          </cell>
          <cell r="B24" t="str">
            <v>BODYSHELL CLIPS</v>
          </cell>
          <cell r="C24" t="str">
            <v>ganchitos</v>
          </cell>
        </row>
        <row r="25">
          <cell r="A25" t="str">
            <v>2012-12</v>
          </cell>
          <cell r="B25" t="str">
            <v>M4 BOLT BUMPER FIXING SET</v>
          </cell>
          <cell r="C25" t="str">
            <v>tornillos del bumper</v>
          </cell>
        </row>
        <row r="26">
          <cell r="A26" t="str">
            <v>2012-13</v>
          </cell>
          <cell r="B26" t="str">
            <v>CARBON FIBER FRONT BODY SUPPORT</v>
          </cell>
          <cell r="C26" t="str">
            <v>carbono delantero de carroceria</v>
          </cell>
        </row>
        <row r="27">
          <cell r="A27" t="str">
            <v>2012-14</v>
          </cell>
          <cell r="B27" t="str">
            <v>FRONT BODY MOUNT</v>
          </cell>
          <cell r="C27" t="str">
            <v>palitos de carroceria delantero</v>
          </cell>
        </row>
        <row r="28">
          <cell r="A28" t="str">
            <v>2012-15</v>
          </cell>
          <cell r="B28" t="str">
            <v>PAN-HEAD SCREWS M4X12</v>
          </cell>
        </row>
        <row r="29">
          <cell r="A29" t="str">
            <v>2012-16</v>
          </cell>
          <cell r="B29" t="str">
            <v>CARBON FIBER FRONT MOUNTS PLATE</v>
          </cell>
          <cell r="C29" t="str">
            <v>carbono de union de cuadernas</v>
          </cell>
        </row>
        <row r="30">
          <cell r="A30" t="str">
            <v>2012-17</v>
          </cell>
          <cell r="B30" t="str">
            <v>FRONT SHOCK SUPPORT</v>
          </cell>
          <cell r="C30" t="str">
            <v xml:space="preserve">Torreta de amoriguadore delantera vieja </v>
          </cell>
        </row>
        <row r="31">
          <cell r="A31" t="str">
            <v>2012-18</v>
          </cell>
          <cell r="B31" t="str">
            <v>FRONT UPPER WISHBONE SHAFT</v>
          </cell>
          <cell r="C31" t="str">
            <v>eje de parrilla superior</v>
          </cell>
        </row>
        <row r="32">
          <cell r="A32" t="str">
            <v>2012-19</v>
          </cell>
          <cell r="B32" t="str">
            <v>SPACER CAMBER ADJUSTMENT  0.5 mm</v>
          </cell>
          <cell r="C32" t="str">
            <v>chapita 0.5</v>
          </cell>
        </row>
        <row r="33">
          <cell r="A33" t="str">
            <v>2012-20</v>
          </cell>
          <cell r="B33" t="str">
            <v>SPACER CAMBER ADJUSTMENT  1.0 mm</v>
          </cell>
          <cell r="C33" t="str">
            <v>chapita 1</v>
          </cell>
        </row>
        <row r="34">
          <cell r="A34" t="str">
            <v>2012-21</v>
          </cell>
          <cell r="B34" t="str">
            <v>SPACER CAMBER ADJUSTMENT  2.0 mm</v>
          </cell>
          <cell r="C34" t="str">
            <v>chapita 2</v>
          </cell>
        </row>
        <row r="35">
          <cell r="A35" t="str">
            <v>2012-22</v>
          </cell>
          <cell r="B35" t="str">
            <v>UPPER FRONT WISHBONE</v>
          </cell>
          <cell r="C35" t="str">
            <v>parrilla superior delantera</v>
          </cell>
        </row>
        <row r="36">
          <cell r="A36" t="str">
            <v>2012-23</v>
          </cell>
          <cell r="B36" t="str">
            <v>HEADLESS SCREW  M4X4</v>
          </cell>
        </row>
        <row r="37">
          <cell r="A37" t="str">
            <v>2012-24</v>
          </cell>
          <cell r="B37" t="str">
            <v>COMPLETE PIVOT END WISHBONE</v>
          </cell>
          <cell r="C37" t="str">
            <v>rotula aluminio sin bola</v>
          </cell>
        </row>
        <row r="38">
          <cell r="A38" t="str">
            <v>2012-25</v>
          </cell>
          <cell r="B38" t="str">
            <v>PAN-HEAD SCREW M6X25 AND WASHER</v>
          </cell>
        </row>
        <row r="39">
          <cell r="A39" t="str">
            <v>2012-26</v>
          </cell>
          <cell r="B39" t="str">
            <v>SPACER CASTER ADJUSTMENT</v>
          </cell>
          <cell r="C39" t="str">
            <v>chapitas de avance- caster</v>
          </cell>
        </row>
        <row r="40">
          <cell r="A40" t="str">
            <v>2012-27</v>
          </cell>
          <cell r="B40" t="str">
            <v>FIXING UPRIGTH SPECIAL SCREW</v>
          </cell>
          <cell r="C40" t="str">
            <v>tornillo de masa</v>
          </cell>
        </row>
        <row r="41">
          <cell r="A41" t="str">
            <v>2012-28</v>
          </cell>
          <cell r="B41" t="str">
            <v>STANDARD FRONT UPRIGTH</v>
          </cell>
          <cell r="C41" t="str">
            <v>masa VIEJA . parece la nueva pero no</v>
          </cell>
        </row>
        <row r="42">
          <cell r="A42" t="str">
            <v>2012-29</v>
          </cell>
          <cell r="B42" t="str">
            <v>STEERING LEVER  LH</v>
          </cell>
          <cell r="C42" t="str">
            <v>brazo de direccion izquierdo (ackermann)</v>
          </cell>
        </row>
        <row r="43">
          <cell r="A43" t="str">
            <v>2012-30</v>
          </cell>
          <cell r="B43" t="str">
            <v>STEERING LEVER  RH</v>
          </cell>
          <cell r="C43" t="str">
            <v>brazo de direccion derecho (ackermann)</v>
          </cell>
        </row>
        <row r="44">
          <cell r="A44" t="str">
            <v>2012-31</v>
          </cell>
          <cell r="B44" t="str">
            <v>SOCKET HEAD SCREWS M4X16</v>
          </cell>
        </row>
        <row r="45">
          <cell r="A45" t="str">
            <v>2012-32</v>
          </cell>
          <cell r="B45" t="str">
            <v>BEARING 8X19X6</v>
          </cell>
          <cell r="C45" t="str">
            <v xml:space="preserve">rodamiento </v>
          </cell>
        </row>
        <row r="46">
          <cell r="A46" t="str">
            <v>2012-34</v>
          </cell>
          <cell r="B46" t="str">
            <v>FRONT AXEL WHEELS</v>
          </cell>
          <cell r="C46" t="str">
            <v>eje de rueda</v>
          </cell>
        </row>
        <row r="47">
          <cell r="A47" t="str">
            <v>2012-35</v>
          </cell>
          <cell r="B47" t="str">
            <v>FIXING WHEEL NUT</v>
          </cell>
          <cell r="C47" t="str">
            <v>tuerca de rueda</v>
          </cell>
        </row>
        <row r="48">
          <cell r="A48" t="str">
            <v>2012-36</v>
          </cell>
          <cell r="B48" t="str">
            <v>SQUARE WHEEL DRIVER 14 mm</v>
          </cell>
          <cell r="C48" t="str">
            <v>cubo de 14 mm</v>
          </cell>
        </row>
        <row r="49">
          <cell r="A49" t="str">
            <v>2012-37</v>
          </cell>
          <cell r="B49" t="str">
            <v>SQUARE WHEEL DRIVER 12.5 mm</v>
          </cell>
          <cell r="C49" t="str">
            <v>cubo de 12.5 mm</v>
          </cell>
        </row>
        <row r="50">
          <cell r="A50" t="str">
            <v>2012-39</v>
          </cell>
          <cell r="B50" t="str">
            <v>SCREW AND WASHER FIXING AXEL WHEELS</v>
          </cell>
        </row>
        <row r="51">
          <cell r="A51" t="str">
            <v>2012-40</v>
          </cell>
          <cell r="B51" t="str">
            <v>FRONT LOWER WISHBONE LH</v>
          </cell>
          <cell r="C51" t="str">
            <v>parrilla inferior delantera derecha</v>
          </cell>
        </row>
        <row r="52">
          <cell r="A52" t="str">
            <v>2012-41</v>
          </cell>
          <cell r="B52" t="str">
            <v>FRONT LOWER WISHBONE RH</v>
          </cell>
          <cell r="C52" t="str">
            <v>parrilla inferior delantera izquierda</v>
          </cell>
        </row>
        <row r="53">
          <cell r="A53" t="str">
            <v>2012-42</v>
          </cell>
          <cell r="B53" t="str">
            <v>SPHERICAL BEARING</v>
          </cell>
          <cell r="C53" t="str">
            <v>rodamiento esferico</v>
          </cell>
        </row>
        <row r="54">
          <cell r="A54" t="str">
            <v>2012-43</v>
          </cell>
          <cell r="B54" t="str">
            <v>FLANGED SCREW M3X6</v>
          </cell>
          <cell r="C54" t="str">
            <v>tornillos para rotulas que fijan bola</v>
          </cell>
        </row>
        <row r="55">
          <cell r="A55" t="str">
            <v>2012-44</v>
          </cell>
          <cell r="B55" t="str">
            <v>SOKET HEAD SCREWS  M4X22</v>
          </cell>
        </row>
        <row r="56">
          <cell r="A56" t="str">
            <v>2012-45</v>
          </cell>
          <cell r="B56" t="str">
            <v>LOWER PIVOT ANTI-ROLL BAR SUPPORT</v>
          </cell>
          <cell r="C56" t="str">
            <v>soporte inferior barra estabilizadora (posiciones)</v>
          </cell>
        </row>
        <row r="57">
          <cell r="A57" t="str">
            <v>2012-46</v>
          </cell>
          <cell r="B57" t="str">
            <v>SOCKET HEAD SCREW M3X8</v>
          </cell>
        </row>
        <row r="58">
          <cell r="A58" t="str">
            <v>2012-47</v>
          </cell>
          <cell r="B58" t="str">
            <v>FRONT ANTI-ROLL BAR PLASTIC JOINT short</v>
          </cell>
          <cell r="C58" t="str">
            <v>rotula plastica de barra</v>
          </cell>
        </row>
        <row r="59">
          <cell r="A59" t="str">
            <v>2012-48</v>
          </cell>
          <cell r="B59" t="str">
            <v>LOWER ANTI-ROLL BAR PIVOT</v>
          </cell>
          <cell r="C59" t="str">
            <v>bola inferior de barra</v>
          </cell>
        </row>
        <row r="60">
          <cell r="A60" t="str">
            <v>2012-49</v>
          </cell>
          <cell r="B60" t="str">
            <v>COUNTERSUNK SCREWS M3X8</v>
          </cell>
          <cell r="C60" t="str">
            <v>tornillos</v>
          </cell>
        </row>
        <row r="61">
          <cell r="A61" t="str">
            <v>2012-50</v>
          </cell>
          <cell r="B61" t="str">
            <v>ANTI-ROLL BAR ADJUSTING SCREW RH-LH</v>
          </cell>
          <cell r="C61" t="str">
            <v>derecha izquierda de barra</v>
          </cell>
        </row>
        <row r="62">
          <cell r="A62" t="str">
            <v>2012-51</v>
          </cell>
          <cell r="B62" t="str">
            <v>UPPER ANTI-ROLL BAR PIVOT DIAMETER  5.5</v>
          </cell>
          <cell r="C62" t="str">
            <v>bola para barra vieja . (para acoplar la rotula)</v>
          </cell>
        </row>
        <row r="63">
          <cell r="A63" t="str">
            <v>2012-52</v>
          </cell>
          <cell r="B63" t="str">
            <v>M4X16 SCREW FRONT DOWN STOP</v>
          </cell>
        </row>
        <row r="64">
          <cell r="A64" t="str">
            <v>2012-53</v>
          </cell>
          <cell r="B64" t="str">
            <v>NYLON  STOPPER FOR DOWN STOP</v>
          </cell>
          <cell r="C64" t="str">
            <v>plastico para parrilla de suspensión para que no se gire dont stop</v>
          </cell>
        </row>
        <row r="65">
          <cell r="A65" t="str">
            <v>2012-54</v>
          </cell>
          <cell r="B65" t="str">
            <v>LOWER WISHBONE SHAFT PIN</v>
          </cell>
          <cell r="C65" t="str">
            <v>pines</v>
          </cell>
        </row>
        <row r="66">
          <cell r="A66" t="str">
            <v>2012-55</v>
          </cell>
          <cell r="B66" t="str">
            <v>FRONT ANTI-ROLL BAR DIAMETER 5.5</v>
          </cell>
          <cell r="C66" t="str">
            <v>barra delantera vieja de 5.5mm</v>
          </cell>
        </row>
        <row r="67">
          <cell r="A67" t="str">
            <v>2012-56</v>
          </cell>
          <cell r="B67" t="str">
            <v>BAR BARELL DIAM. 5.5</v>
          </cell>
          <cell r="C67" t="str">
            <v>"ruleman" de la barra vieja</v>
          </cell>
        </row>
        <row r="68">
          <cell r="A68" t="str">
            <v>2012-57</v>
          </cell>
          <cell r="B68" t="str">
            <v>HEADLESS SCREW M3X3</v>
          </cell>
        </row>
        <row r="69">
          <cell r="A69" t="str">
            <v>2012-58</v>
          </cell>
          <cell r="B69" t="str">
            <v>FLANGED BEARING FOR ANTI-ROLL BAR</v>
          </cell>
          <cell r="C69" t="str">
            <v xml:space="preserve">rodamiendo barra </v>
          </cell>
        </row>
        <row r="70">
          <cell r="A70" t="str">
            <v>2012-59</v>
          </cell>
          <cell r="B70" t="str">
            <v>FRONT AXLE MOUNT LH</v>
          </cell>
          <cell r="C70" t="str">
            <v>cuaderna delantera izquierda</v>
          </cell>
        </row>
        <row r="71">
          <cell r="A71" t="str">
            <v>2012-60</v>
          </cell>
          <cell r="B71" t="str">
            <v>FRONT AXLE MOUNT RH</v>
          </cell>
          <cell r="C71" t="str">
            <v>cuaderna delanter derecha</v>
          </cell>
        </row>
        <row r="72">
          <cell r="A72" t="str">
            <v>2012-61</v>
          </cell>
          <cell r="B72" t="str">
            <v>WISHBONES PLASTIC BUSH</v>
          </cell>
          <cell r="C72" t="str">
            <v>bujes de parrilla</v>
          </cell>
        </row>
        <row r="73">
          <cell r="A73" t="str">
            <v>2012-62</v>
          </cell>
          <cell r="B73" t="str">
            <v>PAN HEAD SCREWS M4X8</v>
          </cell>
        </row>
        <row r="74">
          <cell r="A74" t="str">
            <v>2012-63</v>
          </cell>
          <cell r="B74" t="str">
            <v>STEERING ROD MM88</v>
          </cell>
          <cell r="C74" t="str">
            <v>der/izq de brazo de direccion corto</v>
          </cell>
        </row>
        <row r="75">
          <cell r="A75" t="str">
            <v>2012-64</v>
          </cell>
          <cell r="B75" t="str">
            <v>STEERING ROD MM94</v>
          </cell>
          <cell r="C75" t="str">
            <v>der/izq de brazo de direccion largo</v>
          </cell>
        </row>
        <row r="76">
          <cell r="A76" t="str">
            <v>2012-65</v>
          </cell>
          <cell r="B76" t="str">
            <v>STEERING AND REAR ANTI-ROLL BAR PLASTIC JOINT LONG</v>
          </cell>
          <cell r="C76" t="str">
            <v>rotula plastica de barra trasera y brazo de direccion</v>
          </cell>
        </row>
        <row r="77">
          <cell r="A77" t="str">
            <v>2012-66</v>
          </cell>
          <cell r="B77" t="str">
            <v>STEERING PIVOT  HOLE DIAM. 4</v>
          </cell>
          <cell r="C77" t="str">
            <v>bola de rotula para brazo de direccion</v>
          </cell>
        </row>
        <row r="78">
          <cell r="A78" t="str">
            <v>2012-67</v>
          </cell>
          <cell r="B78" t="str">
            <v>PIVOT STEERING SPACER</v>
          </cell>
          <cell r="C78" t="str">
            <v>separador de brazo de direccion</v>
          </cell>
        </row>
        <row r="79">
          <cell r="A79" t="str">
            <v>2012-68</v>
          </cell>
          <cell r="B79" t="str">
            <v>SERVO SAVER SHAFT</v>
          </cell>
        </row>
        <row r="80">
          <cell r="A80" t="str">
            <v>2012-69</v>
          </cell>
          <cell r="B80" t="str">
            <v>SERVO SAVER  BUSH</v>
          </cell>
        </row>
        <row r="81">
          <cell r="A81" t="str">
            <v>2012-70</v>
          </cell>
          <cell r="B81" t="str">
            <v>SERVO SAVER ADJUSTEMENT NUT</v>
          </cell>
          <cell r="C81" t="str">
            <v>tuerca de ajuste del salva servo</v>
          </cell>
        </row>
        <row r="82">
          <cell r="A82" t="str">
            <v>2012-71</v>
          </cell>
          <cell r="B82" t="str">
            <v>SERVO SAVER BELL SPRING  0.5 mm</v>
          </cell>
          <cell r="C82" t="str">
            <v>chapa de salvaservo viejo</v>
          </cell>
        </row>
        <row r="83">
          <cell r="A83" t="str">
            <v>2012-72</v>
          </cell>
          <cell r="B83" t="str">
            <v>SERVO SAVER BELL SPRING 0.8 mm</v>
          </cell>
          <cell r="C83" t="str">
            <v>chapa de salvaservo viejo</v>
          </cell>
        </row>
        <row r="84">
          <cell r="A84" t="str">
            <v>2012-73</v>
          </cell>
          <cell r="B84" t="str">
            <v>SERVO SAVER LOWER BODY</v>
          </cell>
          <cell r="C84" t="str">
            <v>cuerpo inferior salvaservo viejo</v>
          </cell>
        </row>
        <row r="85">
          <cell r="A85" t="str">
            <v>2012-74</v>
          </cell>
          <cell r="B85" t="str">
            <v>SERVO SAVER UPPER BODY</v>
          </cell>
          <cell r="C85" t="str">
            <v>cuerpo superior salva servo</v>
          </cell>
        </row>
        <row r="86">
          <cell r="A86" t="str">
            <v>2012-75</v>
          </cell>
          <cell r="B86" t="str">
            <v>RETAINING RING SERVO SAVER</v>
          </cell>
        </row>
        <row r="87">
          <cell r="A87" t="str">
            <v>2012-76</v>
          </cell>
          <cell r="B87" t="str">
            <v>COUNTERSUNK SCREW M4X12</v>
          </cell>
        </row>
        <row r="88">
          <cell r="A88" t="str">
            <v>2012-77</v>
          </cell>
          <cell r="B88" t="str">
            <v>RADIO PLATE CONNECTION TRIANGLE</v>
          </cell>
          <cell r="C88" t="str">
            <v>triangulo de coneccion del salvaservo viejo</v>
          </cell>
        </row>
        <row r="89">
          <cell r="A89" t="str">
            <v>2012-78</v>
          </cell>
          <cell r="B89" t="str">
            <v>PAN-HEAD SCREW M3X6</v>
          </cell>
        </row>
        <row r="90">
          <cell r="A90" t="str">
            <v>2012-79</v>
          </cell>
          <cell r="B90" t="str">
            <v>RADIO PLATE SPACER COLUMN</v>
          </cell>
          <cell r="C90" t="str">
            <v>columnas de radiotrain</v>
          </cell>
        </row>
        <row r="91">
          <cell r="A91" t="str">
            <v>2012-80</v>
          </cell>
          <cell r="B91" t="str">
            <v>RADIO PLATE BIG SERVO</v>
          </cell>
          <cell r="C91" t="str">
            <v>radio train para servo grande</v>
          </cell>
        </row>
        <row r="92">
          <cell r="A92" t="str">
            <v>2012-81</v>
          </cell>
          <cell r="B92" t="str">
            <v>RADIO PLATE MEDIUM SERVO</v>
          </cell>
        </row>
        <row r="93">
          <cell r="A93" t="str">
            <v>2012-82</v>
          </cell>
          <cell r="B93" t="str">
            <v>PAN-HEAD SCREW M4X10</v>
          </cell>
        </row>
        <row r="94">
          <cell r="A94" t="str">
            <v>2012-83</v>
          </cell>
          <cell r="B94" t="str">
            <v>RECEIVER BOX</v>
          </cell>
          <cell r="C94" t="str">
            <v>caja de receptor</v>
          </cell>
        </row>
        <row r="95">
          <cell r="A95" t="str">
            <v>2012-84</v>
          </cell>
          <cell r="B95" t="str">
            <v>COMPLETE FUEL TANK 700 cc</v>
          </cell>
          <cell r="C95" t="str">
            <v>tanque de combustible</v>
          </cell>
        </row>
        <row r="96">
          <cell r="A96" t="str">
            <v>2012-85</v>
          </cell>
          <cell r="B96" t="str">
            <v>ALUMINIUM SIDE REINFORCING CHASSIS</v>
          </cell>
          <cell r="C96" t="str">
            <v>laterales de chasis</v>
          </cell>
        </row>
        <row r="97">
          <cell r="A97" t="str">
            <v>2012-86</v>
          </cell>
          <cell r="B97" t="str">
            <v>PLASTIC SIDE BODY MOUNT LONG</v>
          </cell>
          <cell r="C97" t="str">
            <v>palito de carriceria lateral largo</v>
          </cell>
        </row>
        <row r="98">
          <cell r="A98" t="str">
            <v>2012-87</v>
          </cell>
          <cell r="B98" t="str">
            <v>PLASTIC SIDE BODY MOUNT SHORT</v>
          </cell>
          <cell r="C98" t="str">
            <v>palito de carriceria lateral corto</v>
          </cell>
        </row>
        <row r="99">
          <cell r="A99" t="str">
            <v>2012-88</v>
          </cell>
          <cell r="B99" t="str">
            <v>CARBON FIBER SIDE GUARDS</v>
          </cell>
          <cell r="C99" t="str">
            <v>carbono lateral para carroceria</v>
          </cell>
        </row>
        <row r="100">
          <cell r="A100" t="str">
            <v>2012-89</v>
          </cell>
          <cell r="B100" t="str">
            <v>COUNTERSUNK SCREW M4X25</v>
          </cell>
        </row>
        <row r="101">
          <cell r="A101" t="str">
            <v>2012-90</v>
          </cell>
          <cell r="B101" t="str">
            <v>COUNTERSUNK SCREW  M4X16</v>
          </cell>
        </row>
        <row r="102">
          <cell r="A102" t="str">
            <v>2012-91</v>
          </cell>
          <cell r="B102" t="str">
            <v>STANDARD CHASSIS PLATE 530</v>
          </cell>
          <cell r="C102" t="str">
            <v>placa para auto CORTO</v>
          </cell>
        </row>
        <row r="103">
          <cell r="A103" t="str">
            <v>2012-92</v>
          </cell>
          <cell r="B103" t="str">
            <v>OUTER FLANGE CLUTCH SHAFT SUPPORT</v>
          </cell>
          <cell r="C103" t="str">
            <v>Triangulo (tapa) del embrague</v>
          </cell>
        </row>
        <row r="104">
          <cell r="A104" t="str">
            <v>2012-93</v>
          </cell>
          <cell r="B104" t="str">
            <v>BEARING 10X19X5</v>
          </cell>
          <cell r="C104" t="str">
            <v>Ruleman campana</v>
          </cell>
        </row>
        <row r="105">
          <cell r="A105" t="str">
            <v>2012-94</v>
          </cell>
          <cell r="B105" t="str">
            <v>CLUTCH SUPPORT SPACER COLUMN</v>
          </cell>
          <cell r="C105" t="str">
            <v>columna que va en acople de motor</v>
          </cell>
        </row>
        <row r="106">
          <cell r="A106" t="str">
            <v>2012-95</v>
          </cell>
          <cell r="B106" t="str">
            <v>CLUTCH SHAFT</v>
          </cell>
          <cell r="C106" t="str">
            <v>tornillo de embrague</v>
          </cell>
        </row>
        <row r="107">
          <cell r="A107" t="str">
            <v>2012-96</v>
          </cell>
          <cell r="B107" t="str">
            <v>PINION RETAINING RING</v>
          </cell>
          <cell r="C107" t="str">
            <v>ceger de piñon</v>
          </cell>
        </row>
        <row r="108">
          <cell r="A108" t="str">
            <v>2012-97</v>
          </cell>
          <cell r="B108" t="str">
            <v>CLUTCH PINION Z 36</v>
          </cell>
          <cell r="C108" t="str">
            <v xml:space="preserve">piñon 36 </v>
          </cell>
        </row>
        <row r="109">
          <cell r="A109" t="str">
            <v>2012-98</v>
          </cell>
          <cell r="B109" t="str">
            <v>CLUTCH PINION Z 37</v>
          </cell>
          <cell r="C109" t="str">
            <v>piñon 37</v>
          </cell>
        </row>
        <row r="110">
          <cell r="A110" t="str">
            <v>2012-99</v>
          </cell>
          <cell r="B110" t="str">
            <v>CLUTCH PINION Z 35</v>
          </cell>
          <cell r="C110" t="str">
            <v>piñon 35</v>
          </cell>
        </row>
        <row r="111">
          <cell r="A111" t="str">
            <v>2012-100</v>
          </cell>
          <cell r="B111" t="str">
            <v>RETAINING RING FOR BELL CLUTCH</v>
          </cell>
          <cell r="C111" t="str">
            <v>ceger de tornillo de embrague</v>
          </cell>
        </row>
        <row r="112">
          <cell r="A112" t="str">
            <v>2012-101</v>
          </cell>
          <cell r="B112" t="str">
            <v>BELL CLUTCH</v>
          </cell>
          <cell r="C112" t="str">
            <v>campana</v>
          </cell>
        </row>
        <row r="113">
          <cell r="A113" t="str">
            <v>2012-102</v>
          </cell>
          <cell r="B113" t="str">
            <v>HEADLESS SCREW FOR CLUTCH FITTING</v>
          </cell>
          <cell r="C113" t="str">
            <v>prisionero de tornillo de embrague</v>
          </cell>
        </row>
        <row r="114">
          <cell r="A114" t="str">
            <v>2012-103</v>
          </cell>
          <cell r="B114" t="str">
            <v>ENGINE MOUNTING SUPPORT</v>
          </cell>
          <cell r="C114" t="str">
            <v>acople de motor sin columnas</v>
          </cell>
        </row>
        <row r="115">
          <cell r="A115" t="str">
            <v>2012-104</v>
          </cell>
          <cell r="B115" t="str">
            <v>PAN-HEAD SCREW M5X12</v>
          </cell>
          <cell r="C115" t="str">
            <v>tornillos de acople de motor</v>
          </cell>
        </row>
        <row r="116">
          <cell r="A116" t="str">
            <v>2012-105</v>
          </cell>
          <cell r="B116" t="str">
            <v>COUNTERSUNK SCREW M5X12</v>
          </cell>
        </row>
        <row r="117">
          <cell r="A117" t="str">
            <v>2012-106</v>
          </cell>
          <cell r="B117" t="str">
            <v>SPECIAL WASHER FOR ENGINE FASTENING</v>
          </cell>
          <cell r="C117" t="str">
            <v>arandera de motor ( abajo)</v>
          </cell>
        </row>
        <row r="118">
          <cell r="A118" t="str">
            <v>2012-107</v>
          </cell>
          <cell r="B118" t="str">
            <v>GEARWELL RETAINIG RING</v>
          </cell>
          <cell r="C118" t="str">
            <v>ceger de corona</v>
          </cell>
        </row>
        <row r="119">
          <cell r="A119" t="str">
            <v>2012-108</v>
          </cell>
          <cell r="B119" t="str">
            <v>GEARWELL  Z 64</v>
          </cell>
          <cell r="C119" t="str">
            <v>corona</v>
          </cell>
        </row>
        <row r="120">
          <cell r="A120" t="str">
            <v>2012-109</v>
          </cell>
          <cell r="B120" t="str">
            <v>SECOND SHAFT</v>
          </cell>
          <cell r="C120" t="str">
            <v>eje medio</v>
          </cell>
        </row>
        <row r="121">
          <cell r="A121" t="str">
            <v>2012-110</v>
          </cell>
          <cell r="B121" t="str">
            <v>SECOND SHAFT BEARING</v>
          </cell>
          <cell r="C121" t="str">
            <v>rodamiento eje medio</v>
          </cell>
        </row>
        <row r="122">
          <cell r="A122" t="str">
            <v>2012-111</v>
          </cell>
          <cell r="B122" t="str">
            <v>SECOND SHAFT SUPPORT FLANGE</v>
          </cell>
          <cell r="C122" t="str">
            <v xml:space="preserve">pieza donde van rodamientos de eje medio </v>
          </cell>
        </row>
        <row r="123">
          <cell r="A123" t="str">
            <v>2012-112</v>
          </cell>
          <cell r="B123" t="str">
            <v>SECOND SHAFT PINION  Z 24</v>
          </cell>
          <cell r="C123" t="str">
            <v>piñon eje medio 24</v>
          </cell>
        </row>
        <row r="124">
          <cell r="A124" t="str">
            <v>2012-113</v>
          </cell>
          <cell r="B124" t="str">
            <v>REAR AXLE MOUNT LH</v>
          </cell>
          <cell r="C124" t="str">
            <v>bancada trasera izquierda</v>
          </cell>
        </row>
        <row r="125">
          <cell r="A125" t="str">
            <v>2012-114</v>
          </cell>
          <cell r="B125" t="str">
            <v>DIFFERENTIAL BEARING SUPPORT</v>
          </cell>
          <cell r="C125" t="str">
            <v>soporte de rodamientos de diff</v>
          </cell>
        </row>
        <row r="126">
          <cell r="A126" t="str">
            <v>2012-115</v>
          </cell>
          <cell r="B126" t="str">
            <v>REAR UPPER WHISBONE SHAFT</v>
          </cell>
          <cell r="C126" t="str">
            <v>eje de parrilla superior trasera</v>
          </cell>
        </row>
        <row r="127">
          <cell r="A127" t="str">
            <v>2012-116</v>
          </cell>
          <cell r="B127" t="str">
            <v>REAR UPPER WHISBONE</v>
          </cell>
          <cell r="C127" t="str">
            <v>parrilla trasera superior</v>
          </cell>
        </row>
        <row r="128">
          <cell r="A128" t="str">
            <v>2012-117</v>
          </cell>
          <cell r="B128" t="str">
            <v>REAR UPRIGHT  LH</v>
          </cell>
          <cell r="C128" t="str">
            <v>masa trasera izquierda</v>
          </cell>
        </row>
        <row r="129">
          <cell r="A129" t="str">
            <v>2012-118</v>
          </cell>
          <cell r="B129" t="str">
            <v>REAR UPRIGHT  RH</v>
          </cell>
          <cell r="C129" t="str">
            <v>masa trasera derecha</v>
          </cell>
        </row>
        <row r="130">
          <cell r="A130" t="str">
            <v>2012-120</v>
          </cell>
          <cell r="B130" t="str">
            <v>REAR UPRIGHT BEARINGS SPACER</v>
          </cell>
          <cell r="C130" t="str">
            <v xml:space="preserve">espaciador de rodamientos de masa </v>
          </cell>
        </row>
        <row r="131">
          <cell r="A131" t="str">
            <v>2012-121</v>
          </cell>
          <cell r="B131" t="str">
            <v>REAR WHEEL DRIVER SQUARE 11.5 mm</v>
          </cell>
          <cell r="C131" t="str">
            <v>cubos de 11.5 traseros</v>
          </cell>
        </row>
        <row r="132">
          <cell r="A132" t="str">
            <v>2012-122</v>
          </cell>
          <cell r="B132" t="str">
            <v>REAR WHEEL HUB</v>
          </cell>
          <cell r="C132" t="str">
            <v>eje de rueda trasero</v>
          </cell>
        </row>
        <row r="133">
          <cell r="A133" t="str">
            <v>2012-123</v>
          </cell>
          <cell r="B133" t="str">
            <v>REAR TOE IN PLASTIC BUSH 1° - 3°</v>
          </cell>
          <cell r="C133" t="str">
            <v xml:space="preserve">alinear de 1-3 </v>
          </cell>
        </row>
        <row r="134">
          <cell r="A134" t="str">
            <v>2012-124</v>
          </cell>
          <cell r="B134" t="str">
            <v>REAR TOE IN PLASTIC BUSH 1.5° - 2.5°</v>
          </cell>
          <cell r="C134" t="str">
            <v>alinear de 1.5 - 2.5</v>
          </cell>
        </row>
        <row r="135">
          <cell r="A135" t="str">
            <v>2012-125</v>
          </cell>
          <cell r="B135" t="str">
            <v>REAR TOE IN PLASTIC BUSH 2°</v>
          </cell>
          <cell r="C135" t="str">
            <v>alinear 2</v>
          </cell>
        </row>
        <row r="136">
          <cell r="A136" t="str">
            <v>2012-126</v>
          </cell>
          <cell r="B136" t="str">
            <v>REAR TOE IN PLASTIC BUSH 3.5° - 0.5°</v>
          </cell>
          <cell r="C136" t="str">
            <v>alinear 3.5 - 0.5</v>
          </cell>
        </row>
        <row r="137">
          <cell r="A137" t="str">
            <v>2012-127</v>
          </cell>
          <cell r="B137" t="str">
            <v>REAR TOE IN PLASTIC BUSH 4.5°</v>
          </cell>
          <cell r="C137" t="str">
            <v>alinear 4.5</v>
          </cell>
        </row>
        <row r="138">
          <cell r="A138" t="str">
            <v>2012-128</v>
          </cell>
          <cell r="B138" t="str">
            <v>REAR TOE IN PLASTIC BUSH 4°</v>
          </cell>
          <cell r="C138" t="str">
            <v>alinear 4</v>
          </cell>
        </row>
        <row r="139">
          <cell r="A139" t="str">
            <v>2012-129</v>
          </cell>
          <cell r="B139" t="str">
            <v>REAR LOWER UPRIGHT SHAFT</v>
          </cell>
          <cell r="C139" t="str">
            <v>eje de parrilla trasera inferior</v>
          </cell>
        </row>
        <row r="140">
          <cell r="A140" t="str">
            <v>2012-130</v>
          </cell>
          <cell r="B140" t="str">
            <v>REAR LOWER WISHBONE LH</v>
          </cell>
          <cell r="C140" t="str">
            <v>parrilla trasera inferior izquierda</v>
          </cell>
        </row>
        <row r="141">
          <cell r="A141" t="str">
            <v>2012-131</v>
          </cell>
          <cell r="B141" t="str">
            <v>REAR LOWER WISHBONE RH</v>
          </cell>
          <cell r="C141" t="str">
            <v>parrilla trasera inferior derecha</v>
          </cell>
        </row>
        <row r="142">
          <cell r="A142" t="str">
            <v>2012-132</v>
          </cell>
          <cell r="B142" t="str">
            <v>DRIVE SHAFT</v>
          </cell>
          <cell r="C142" t="str">
            <v>palier</v>
          </cell>
        </row>
        <row r="143">
          <cell r="A143" t="str">
            <v>2012-133</v>
          </cell>
          <cell r="B143" t="str">
            <v>BALLS FOR DRIVE SHAFT</v>
          </cell>
          <cell r="C143" t="str">
            <v>bolas de palier</v>
          </cell>
        </row>
        <row r="144">
          <cell r="A144" t="str">
            <v>2012-134</v>
          </cell>
          <cell r="B144" t="str">
            <v>REAR LOWER MOUNT SHOCK FORK</v>
          </cell>
          <cell r="C144" t="str">
            <v>posicion de amortiguador trasera 4 agujeros</v>
          </cell>
        </row>
        <row r="145">
          <cell r="A145" t="str">
            <v>2012-135</v>
          </cell>
          <cell r="B145" t="str">
            <v>ANTI-ROLL BAR UPPER PIVOT DIAM. 5 mm</v>
          </cell>
        </row>
        <row r="146">
          <cell r="A146" t="str">
            <v>2012-136</v>
          </cell>
          <cell r="B146" t="str">
            <v>ANTI-ROLL BAR BARREL DIAM.  5 mm</v>
          </cell>
        </row>
        <row r="147">
          <cell r="A147" t="str">
            <v>2012-137</v>
          </cell>
          <cell r="B147" t="str">
            <v>REAR ANTI-ROLL BAR DIAM. 5 mm</v>
          </cell>
          <cell r="C147" t="str">
            <v>"rodamiento" barra vieja</v>
          </cell>
        </row>
        <row r="148">
          <cell r="A148" t="str">
            <v>2012-138</v>
          </cell>
          <cell r="B148" t="str">
            <v>M4X20 SCREW REAR DOWN STOP</v>
          </cell>
        </row>
        <row r="149">
          <cell r="A149" t="str">
            <v>2012-139</v>
          </cell>
          <cell r="B149" t="str">
            <v>REAR UPPER SHOCK MOUNT</v>
          </cell>
          <cell r="C149" t="str">
            <v>torreta de amortiguadores trasera</v>
          </cell>
        </row>
        <row r="150">
          <cell r="A150" t="str">
            <v>2012-140</v>
          </cell>
          <cell r="B150" t="str">
            <v>COUNTERSUNK SCREW M4X14</v>
          </cell>
        </row>
        <row r="151">
          <cell r="A151" t="str">
            <v>2012-141</v>
          </cell>
          <cell r="B151" t="str">
            <v>PIN 4X10</v>
          </cell>
          <cell r="C151" t="str">
            <v>pines de cuaderna</v>
          </cell>
        </row>
        <row r="152">
          <cell r="A152" t="str">
            <v>2012-142</v>
          </cell>
          <cell r="B152" t="str">
            <v>COUNTERSUNK SCREW M4X10</v>
          </cell>
        </row>
        <row r="153">
          <cell r="A153" t="str">
            <v>2012-143</v>
          </cell>
          <cell r="B153" t="str">
            <v>UPPER PIN REAR SHOCK FIXING</v>
          </cell>
          <cell r="C153" t="str">
            <v>pieza en la que encastra el amoritiguador traseros (va el clip)</v>
          </cell>
        </row>
        <row r="154">
          <cell r="A154" t="str">
            <v>2012-144</v>
          </cell>
          <cell r="B154" t="str">
            <v>RETAINER RING FOR SHOCK</v>
          </cell>
          <cell r="C154" t="str">
            <v>clips amortiguador</v>
          </cell>
        </row>
        <row r="155">
          <cell r="A155" t="str">
            <v>2012-145</v>
          </cell>
          <cell r="B155" t="str">
            <v>SOCKET HEAD SCREW  M4X20</v>
          </cell>
        </row>
        <row r="156">
          <cell r="A156" t="str">
            <v>2012-146</v>
          </cell>
          <cell r="B156" t="str">
            <v>REAR BODY SUPPORT BRACKET</v>
          </cell>
          <cell r="C156" t="str">
            <v>soporte de carroceria de aluminio (brazo)</v>
          </cell>
        </row>
        <row r="157">
          <cell r="A157" t="str">
            <v>2012-147</v>
          </cell>
          <cell r="B157" t="str">
            <v>CARBON FIBER REAR BODY SUPPORT</v>
          </cell>
          <cell r="C157" t="str">
            <v>carbono de carroceria trasero</v>
          </cell>
        </row>
        <row r="158">
          <cell r="A158" t="str">
            <v>2012-148</v>
          </cell>
          <cell r="B158" t="str">
            <v>REAR BODY MOUNT COLUMN</v>
          </cell>
          <cell r="C158" t="str">
            <v>palito de carroceria trasero completo</v>
          </cell>
        </row>
        <row r="159">
          <cell r="A159" t="str">
            <v>2012-149</v>
          </cell>
          <cell r="B159" t="str">
            <v>COUNTERSUNK SCREW  M5X18</v>
          </cell>
        </row>
        <row r="160">
          <cell r="A160" t="str">
            <v>2012-150</v>
          </cell>
          <cell r="B160" t="str">
            <v>REAR MOUNTS SPACER</v>
          </cell>
          <cell r="C160" t="str">
            <v>pieza que une las dos cuadernas en forma de "S"</v>
          </cell>
        </row>
        <row r="161">
          <cell r="A161" t="str">
            <v>2012-151</v>
          </cell>
          <cell r="B161" t="str">
            <v>REAR AXLE MOUNT RH</v>
          </cell>
          <cell r="C161" t="str">
            <v>Bancada trasera derecha</v>
          </cell>
        </row>
        <row r="162">
          <cell r="A162" t="str">
            <v>2012-152</v>
          </cell>
          <cell r="B162" t="str">
            <v>CARBON FIBER BATTERY SUPPORT</v>
          </cell>
          <cell r="C162" t="str">
            <v>soporte de bateria viejo</v>
          </cell>
        </row>
        <row r="163">
          <cell r="A163" t="str">
            <v>2012-153</v>
          </cell>
          <cell r="B163" t="str">
            <v>DIFFERENTIAL GEARWELL Z 73</v>
          </cell>
          <cell r="C163" t="str">
            <v>corona de diferencial</v>
          </cell>
        </row>
        <row r="164">
          <cell r="A164" t="str">
            <v>2012-154</v>
          </cell>
          <cell r="B164" t="str">
            <v>SECOND SHAFT PINION  Z 25</v>
          </cell>
          <cell r="C164" t="str">
            <v>piñon eje medio 25</v>
          </cell>
        </row>
        <row r="165">
          <cell r="A165" t="str">
            <v>2012-155</v>
          </cell>
          <cell r="B165" t="str">
            <v>PROTECTIVE BELLOW</v>
          </cell>
          <cell r="C165" t="str">
            <v>fuelle de palier</v>
          </cell>
        </row>
        <row r="166">
          <cell r="A166" t="str">
            <v>2012-156</v>
          </cell>
          <cell r="B166" t="str">
            <v>CLUTCH ADAPTOR CONE</v>
          </cell>
          <cell r="C166" t="str">
            <v>adaptador de embrague</v>
          </cell>
        </row>
        <row r="167">
          <cell r="A167" t="str">
            <v>2012-157</v>
          </cell>
          <cell r="B167" t="str">
            <v>3 SHOES COMPLETE CLUTCH</v>
          </cell>
        </row>
        <row r="168">
          <cell r="A168" t="str">
            <v>2012-158</v>
          </cell>
          <cell r="B168" t="str">
            <v>CLUTCH SHOES</v>
          </cell>
        </row>
        <row r="169">
          <cell r="A169" t="str">
            <v>2012-159</v>
          </cell>
          <cell r="B169" t="str">
            <v>CLUTCH SPRINGS DIAM. 1.3</v>
          </cell>
        </row>
        <row r="170">
          <cell r="A170" t="str">
            <v>2012-160</v>
          </cell>
          <cell r="B170" t="str">
            <v>CLUTCH SPRINGS GUIDE</v>
          </cell>
        </row>
        <row r="171">
          <cell r="A171" t="str">
            <v>2012-161</v>
          </cell>
          <cell r="B171" t="str">
            <v>DOUBLE SERVO RADIO PLATE</v>
          </cell>
          <cell r="C171" t="str">
            <v>radiotrain para 4 servos</v>
          </cell>
        </row>
        <row r="172">
          <cell r="A172" t="str">
            <v>2012-163</v>
          </cell>
          <cell r="B172" t="str">
            <v>DRIVE SHAFT RUBBER PADS</v>
          </cell>
          <cell r="C172" t="str">
            <v>gomas de palier</v>
          </cell>
        </row>
        <row r="173">
          <cell r="A173" t="str">
            <v>2012-165</v>
          </cell>
          <cell r="B173" t="str">
            <v>3 SHOES CLUTCH EXTRACTOR TOOL</v>
          </cell>
          <cell r="C173" t="str">
            <v>extractor de embrague de 3</v>
          </cell>
        </row>
        <row r="174">
          <cell r="A174" t="str">
            <v>2012-166</v>
          </cell>
          <cell r="B174" t="str">
            <v>CARBON FIBER PIPE SUPPORT</v>
          </cell>
          <cell r="C174" t="str">
            <v>soporte de escape samba 7</v>
          </cell>
        </row>
        <row r="175">
          <cell r="A175" t="str">
            <v>2012-170</v>
          </cell>
          <cell r="B175" t="str">
            <v>SERVO SAVER SPHERICAL JOINT LONG</v>
          </cell>
          <cell r="C175" t="str">
            <v>columna de salvaservo para brazo de servo</v>
          </cell>
        </row>
        <row r="176">
          <cell r="A176" t="str">
            <v>2012-172</v>
          </cell>
          <cell r="B176" t="str">
            <v>RETAINING BRAKE LINE</v>
          </cell>
          <cell r="C176" t="str">
            <v>clips para manguera de freno</v>
          </cell>
        </row>
        <row r="177">
          <cell r="A177" t="str">
            <v>2012-173</v>
          </cell>
          <cell r="B177" t="str">
            <v>CLUTCH SPRINGS DIAM. 1.4</v>
          </cell>
        </row>
        <row r="178">
          <cell r="A178" t="str">
            <v>2012-175</v>
          </cell>
          <cell r="B178" t="str">
            <v>DIFFERENTIAL BEARING 15/24/5</v>
          </cell>
        </row>
        <row r="179">
          <cell r="A179" t="str">
            <v>2012-176</v>
          </cell>
          <cell r="B179" t="str">
            <v>FUEL TANK SEAL</v>
          </cell>
          <cell r="C179" t="str">
            <v>manguera de combustible</v>
          </cell>
        </row>
        <row r="180">
          <cell r="A180" t="str">
            <v>2012-177</v>
          </cell>
          <cell r="B180" t="str">
            <v>COMPLETE STEERING STOPPER</v>
          </cell>
          <cell r="C180" t="str">
            <v>tope de direccion</v>
          </cell>
        </row>
        <row r="181">
          <cell r="A181" t="str">
            <v>2012-178</v>
          </cell>
          <cell r="B181" t="str">
            <v>FRONT UPRIGHT -3 RH</v>
          </cell>
          <cell r="C181" t="str">
            <v>masa con offset</v>
          </cell>
        </row>
        <row r="182">
          <cell r="A182" t="str">
            <v>2012-179</v>
          </cell>
          <cell r="B182" t="str">
            <v>FRONT UPRIGHT -3 LH</v>
          </cell>
          <cell r="C182" t="str">
            <v>masa con offset</v>
          </cell>
        </row>
        <row r="183">
          <cell r="A183" t="str">
            <v>2012-180</v>
          </cell>
          <cell r="B183" t="str">
            <v>DISAXLE FRONT UPRIGHT -6 -6 LH</v>
          </cell>
          <cell r="C183" t="str">
            <v>masa con diferente caster</v>
          </cell>
        </row>
        <row r="184">
          <cell r="A184" t="str">
            <v>2012-181</v>
          </cell>
          <cell r="B184" t="str">
            <v>DISAXLE FRONT UPRIGHT -6 -6 RH</v>
          </cell>
          <cell r="C184" t="str">
            <v>masa con diferente caster</v>
          </cell>
        </row>
        <row r="185">
          <cell r="A185" t="str">
            <v>2012-182</v>
          </cell>
          <cell r="B185" t="str">
            <v>AIR BOX FILTER</v>
          </cell>
          <cell r="C185" t="str">
            <v>filtro de aire</v>
          </cell>
        </row>
        <row r="186">
          <cell r="A186" t="str">
            <v>2012-183</v>
          </cell>
          <cell r="B186" t="str">
            <v>CARBON RETAINING PLATE FOR BUMPER</v>
          </cell>
          <cell r="C186" t="str">
            <v>carbonos para el bumper</v>
          </cell>
        </row>
        <row r="187">
          <cell r="A187" t="str">
            <v>2012-184</v>
          </cell>
          <cell r="B187" t="str">
            <v>CARBON FLOOR FOR WET TRACK</v>
          </cell>
          <cell r="C187" t="str">
            <v>piso de carbono para lluvia</v>
          </cell>
        </row>
        <row r="188">
          <cell r="A188" t="str">
            <v>2012-185</v>
          </cell>
          <cell r="B188" t="str">
            <v>STEERING PIVOT DIAM. 4mm</v>
          </cell>
          <cell r="C188" t="str">
            <v>bola para salva servo . rotula de direccion</v>
          </cell>
        </row>
        <row r="189">
          <cell r="A189" t="str">
            <v>2012-186</v>
          </cell>
          <cell r="B189" t="str">
            <v>PAN-HEAD SCREW M4X16</v>
          </cell>
        </row>
        <row r="190">
          <cell r="A190" t="str">
            <v>2012-187</v>
          </cell>
          <cell r="B190" t="str">
            <v>PIVOT END WISHBONE SHORT</v>
          </cell>
          <cell r="C190" t="str">
            <v>rotula de aluminio completa</v>
          </cell>
        </row>
        <row r="191">
          <cell r="A191" t="str">
            <v>2012-188</v>
          </cell>
          <cell r="B191" t="str">
            <v>COUNTERSUNK SCREW M4X8</v>
          </cell>
        </row>
        <row r="192">
          <cell r="A192" t="str">
            <v>2012-189</v>
          </cell>
          <cell r="B192" t="str">
            <v>SCREW FOR BODYSHELL COLUMN</v>
          </cell>
          <cell r="C192" t="str">
            <v xml:space="preserve">tornillos  </v>
          </cell>
        </row>
        <row r="193">
          <cell r="A193" t="str">
            <v>2012-190</v>
          </cell>
          <cell r="B193" t="str">
            <v>PAN-HEAD SCREW M6X18 AND WASHER</v>
          </cell>
        </row>
        <row r="194">
          <cell r="A194" t="str">
            <v>2012-191</v>
          </cell>
          <cell r="B194" t="str">
            <v>FRONT LOWER WISHBONE FORK KIT</v>
          </cell>
        </row>
        <row r="195">
          <cell r="A195" t="str">
            <v>2012-192</v>
          </cell>
          <cell r="B195" t="str">
            <v>FRONT ANTI-ROLL BAR DIAM. 6 mm</v>
          </cell>
          <cell r="C195" t="str">
            <v xml:space="preserve">barra 6mm vieja </v>
          </cell>
        </row>
        <row r="196">
          <cell r="A196" t="str">
            <v>2012-193</v>
          </cell>
          <cell r="B196" t="str">
            <v>ANTI-ROLL BAR BARREL DIAM. 6 mm</v>
          </cell>
        </row>
        <row r="197">
          <cell r="A197" t="str">
            <v>2012-194</v>
          </cell>
          <cell r="B197" t="str">
            <v>REAR ANTI-ROLL BAR DIAM. 5.5 mm</v>
          </cell>
        </row>
        <row r="198">
          <cell r="A198" t="str">
            <v>2012-195</v>
          </cell>
          <cell r="B198" t="str">
            <v>FRONT WEIGHT</v>
          </cell>
          <cell r="C198" t="str">
            <v>plomos delanteros</v>
          </cell>
        </row>
        <row r="199">
          <cell r="A199" t="str">
            <v>2012-196</v>
          </cell>
          <cell r="B199" t="str">
            <v>MEDIUM WEIGHT</v>
          </cell>
          <cell r="C199" t="str">
            <v>plomo grande salva servo</v>
          </cell>
        </row>
        <row r="200">
          <cell r="A200" t="str">
            <v>2012-197</v>
          </cell>
          <cell r="B200" t="str">
            <v>CENTRAL WEIGHT</v>
          </cell>
          <cell r="C200" t="str">
            <v>plomo tanque</v>
          </cell>
        </row>
        <row r="201">
          <cell r="A201" t="str">
            <v>2012-198</v>
          </cell>
          <cell r="B201" t="str">
            <v>FRONT UPRIGHT BEARING SPACER</v>
          </cell>
          <cell r="C201" t="str">
            <v>espaciador de rodamientos masa delantera</v>
          </cell>
        </row>
        <row r="202">
          <cell r="A202" t="str">
            <v>2012-199</v>
          </cell>
          <cell r="B202" t="str">
            <v>FRONT UPRIGHT STANDARD SPACER</v>
          </cell>
          <cell r="C202" t="str">
            <v>cono 6 mm</v>
          </cell>
        </row>
        <row r="203">
          <cell r="A203" t="str">
            <v>2012-200</v>
          </cell>
          <cell r="B203" t="str">
            <v>FRONT UPRIGHT MEDIUM SPACER -2</v>
          </cell>
          <cell r="C203" t="str">
            <v>cono 4 mm</v>
          </cell>
        </row>
        <row r="204">
          <cell r="A204" t="str">
            <v>2012-201</v>
          </cell>
          <cell r="B204" t="str">
            <v>FRONT UPRIGHT SHORT SPACER -4</v>
          </cell>
          <cell r="C204" t="str">
            <v>cono 2 mm</v>
          </cell>
        </row>
        <row r="205">
          <cell r="A205" t="str">
            <v>2012-202</v>
          </cell>
          <cell r="B205" t="str">
            <v>FRONT NEW BRAKE HUB STANDARD 14mm</v>
          </cell>
          <cell r="C205" t="str">
            <v>cubo para disco estrella 14mm</v>
          </cell>
        </row>
        <row r="206">
          <cell r="A206" t="str">
            <v>2012-203</v>
          </cell>
          <cell r="B206" t="str">
            <v>FRONT NEW BRAKE HUB STANDARD 12mm</v>
          </cell>
          <cell r="C206" t="str">
            <v>cubo para delante de 12 mm</v>
          </cell>
        </row>
        <row r="207">
          <cell r="A207" t="str">
            <v>2012-204</v>
          </cell>
          <cell r="B207" t="str">
            <v>REAR NEW BRAKE HUB STANDARD MM 11.5</v>
          </cell>
          <cell r="C207" t="str">
            <v>cubo traser de 11.5</v>
          </cell>
        </row>
        <row r="208">
          <cell r="A208" t="str">
            <v>2012-205</v>
          </cell>
          <cell r="B208" t="str">
            <v>NEW BRAKE DISK 2015</v>
          </cell>
          <cell r="C208" t="str">
            <v>disco estrella</v>
          </cell>
        </row>
        <row r="209">
          <cell r="A209" t="str">
            <v>2012-206</v>
          </cell>
          <cell r="B209" t="str">
            <v>FRONT UPRIGHT - 1.5 RH</v>
          </cell>
          <cell r="C209" t="str">
            <v>masa con offset</v>
          </cell>
        </row>
        <row r="210">
          <cell r="A210" t="str">
            <v>2012-207</v>
          </cell>
          <cell r="B210" t="str">
            <v>FRONT UPRIGHT - 1.5 LH</v>
          </cell>
          <cell r="C210" t="str">
            <v>masa con offset</v>
          </cell>
        </row>
        <row r="211">
          <cell r="A211" t="str">
            <v>2012-208</v>
          </cell>
          <cell r="B211" t="str">
            <v>SERVOSAVER ROD M4X53 mm RH LH</v>
          </cell>
          <cell r="C211" t="str">
            <v>der-izq de servos</v>
          </cell>
        </row>
        <row r="212">
          <cell r="A212" t="str">
            <v>2012-209</v>
          </cell>
          <cell r="B212" t="str">
            <v>COMPLETE JOINT HOLE DIAM. 3mm</v>
          </cell>
          <cell r="C212" t="str">
            <v>rotula de 3mm completa</v>
          </cell>
        </row>
        <row r="213">
          <cell r="A213" t="str">
            <v>2012-210</v>
          </cell>
          <cell r="B213" t="str">
            <v>ENGINE BRACKET</v>
          </cell>
          <cell r="C213" t="str">
            <v>tensor de motor (atras)</v>
          </cell>
        </row>
        <row r="214">
          <cell r="A214" t="str">
            <v>2012-211</v>
          </cell>
          <cell r="B214" t="str">
            <v>DIFFERENTIAL OUTER HUB</v>
          </cell>
          <cell r="C214" t="str">
            <v>cubo de diferencial</v>
          </cell>
        </row>
        <row r="215">
          <cell r="A215" t="str">
            <v>2012-212</v>
          </cell>
          <cell r="B215" t="str">
            <v>GROOVED CHASSIS 530</v>
          </cell>
          <cell r="C215" t="str">
            <v>chasis calado</v>
          </cell>
        </row>
        <row r="216">
          <cell r="A216" t="str">
            <v>2012-213</v>
          </cell>
          <cell r="B216" t="str">
            <v>NEW BATTERY HOLDER SET</v>
          </cell>
          <cell r="C216" t="str">
            <v>soporte nuevo de bateria</v>
          </cell>
        </row>
        <row r="217">
          <cell r="A217" t="str">
            <v>2012-214</v>
          </cell>
          <cell r="B217" t="str">
            <v>CONVERSION KIT SHORT WHEELBASE FOR</v>
          </cell>
        </row>
        <row r="218">
          <cell r="B218" t="str">
            <v>PORSCHE (RADIO PLATE DOUBLE SERVOS)</v>
          </cell>
        </row>
        <row r="219">
          <cell r="A219" t="str">
            <v>2012-215</v>
          </cell>
          <cell r="B219" t="str">
            <v>CONVERSION KIT SHORT WHEELBASE FOR</v>
          </cell>
        </row>
        <row r="220">
          <cell r="B220" t="str">
            <v>PORSCHE (RADIO PLATE BIG SERVO)</v>
          </cell>
        </row>
        <row r="221">
          <cell r="A221" t="str">
            <v>2012-216</v>
          </cell>
          <cell r="B221" t="str">
            <v>RADIO PLATE DOUBLE SERVO</v>
          </cell>
        </row>
        <row r="222">
          <cell r="B222" t="str">
            <v>(FOR SHORT CAR)</v>
          </cell>
        </row>
        <row r="223">
          <cell r="A223" t="str">
            <v>2012-217</v>
          </cell>
          <cell r="B223" t="str">
            <v>RADIO PLATE BIG SERVO (FOR SHORT CAR)</v>
          </cell>
        </row>
        <row r="224">
          <cell r="A224" t="str">
            <v>2012-218</v>
          </cell>
          <cell r="B224" t="str">
            <v>REAR CARBON BODY SUPPORT</v>
          </cell>
        </row>
        <row r="225">
          <cell r="B225" t="str">
            <v>(FOR PORSCHE BODYSHELL)</v>
          </cell>
        </row>
        <row r="226">
          <cell r="A226" t="str">
            <v>2012-219</v>
          </cell>
          <cell r="B226" t="str">
            <v>REAR PLASTIC COLUMN SUPPORT</v>
          </cell>
        </row>
        <row r="227">
          <cell r="B227" t="str">
            <v>(FOR PORSCHE BODYSHELL)</v>
          </cell>
        </row>
        <row r="228">
          <cell r="A228" t="str">
            <v>2012-220</v>
          </cell>
          <cell r="B228" t="str">
            <v>RADIO PLATE SPACER 5th COLUMN</v>
          </cell>
        </row>
        <row r="229">
          <cell r="A229" t="str">
            <v>2012-221</v>
          </cell>
          <cell r="B229" t="str">
            <v>LOWER ROLL BAR MOUNT LH 4 HOLES</v>
          </cell>
          <cell r="C229" t="str">
            <v>posiciones de barra trasera con 4 izquierda</v>
          </cell>
        </row>
        <row r="230">
          <cell r="A230" t="str">
            <v>2012-222</v>
          </cell>
          <cell r="B230" t="str">
            <v>LOWER ROLL BAR MOUNT RH 4 HOLES</v>
          </cell>
          <cell r="C230" t="str">
            <v>posiciones de barra trasera con 4 derecha</v>
          </cell>
        </row>
        <row r="231">
          <cell r="A231" t="str">
            <v>2012-223</v>
          </cell>
          <cell r="B231" t="str">
            <v>CLUTCH PINION Z34</v>
          </cell>
          <cell r="C231" t="str">
            <v>piñon 34</v>
          </cell>
        </row>
        <row r="232">
          <cell r="A232" t="str">
            <v>2012-224</v>
          </cell>
          <cell r="B232" t="str">
            <v>FRONT END KIT 2017</v>
          </cell>
          <cell r="C232" t="str">
            <v>KIT TREN DELANTERO</v>
          </cell>
        </row>
        <row r="233">
          <cell r="A233" t="str">
            <v>2012-225</v>
          </cell>
          <cell r="B233" t="str">
            <v>NEW MEDIUM WEIGHT</v>
          </cell>
          <cell r="C233" t="str">
            <v>peso de servos . no grande</v>
          </cell>
        </row>
        <row r="234">
          <cell r="A234" t="str">
            <v>2012-226</v>
          </cell>
          <cell r="B234" t="str">
            <v>MEDIUM WEIGHT FOR SHORT CHASSIS</v>
          </cell>
        </row>
        <row r="235">
          <cell r="A235" t="str">
            <v>2012-227</v>
          </cell>
          <cell r="B235" t="str">
            <v>COMPLETE REAR ANTI-ROLL BAR KIT 2017</v>
          </cell>
          <cell r="C235" t="str">
            <v>barra nueva trasera</v>
          </cell>
        </row>
        <row r="236">
          <cell r="A236" t="str">
            <v>2012-228</v>
          </cell>
          <cell r="B236" t="str">
            <v>COMPLETE SERVO SAVER</v>
          </cell>
          <cell r="C236" t="str">
            <v>salva servo nuevo completo</v>
          </cell>
        </row>
        <row r="237">
          <cell r="A237" t="str">
            <v>2012-229</v>
          </cell>
          <cell r="B237" t="str">
            <v>FRONT LOWER WISHBONE LH 2017</v>
          </cell>
          <cell r="C237" t="str">
            <v>parrilla inferior tren delantero nuevo izquierda</v>
          </cell>
        </row>
        <row r="238">
          <cell r="A238" t="str">
            <v>2012-230</v>
          </cell>
          <cell r="B238" t="str">
            <v>FRONT LOWER WISHBONE RH 2017</v>
          </cell>
          <cell r="C238" t="str">
            <v>parrilla inferior tren delantero nuevo derecha</v>
          </cell>
        </row>
        <row r="239">
          <cell r="A239" t="str">
            <v>2012-231</v>
          </cell>
          <cell r="B239" t="str">
            <v>FRONT AXLE MOUNT LH 2017</v>
          </cell>
          <cell r="C239" t="str">
            <v>cuaderna tren delantero nuevo izquierda</v>
          </cell>
        </row>
        <row r="240">
          <cell r="A240" t="str">
            <v>2012-232</v>
          </cell>
          <cell r="B240" t="str">
            <v>FRONT AXLE MOUNT RH 2017</v>
          </cell>
          <cell r="C240" t="str">
            <v>cuaderna tren delantero nuevo izquierda</v>
          </cell>
        </row>
        <row r="241">
          <cell r="A241" t="str">
            <v>2012-233</v>
          </cell>
          <cell r="B241" t="str">
            <v>CARBON FIBER FRONT MOUNT PLATE 2017</v>
          </cell>
          <cell r="C241" t="str">
            <v>carbono que une cuadernas tren delantero viejo</v>
          </cell>
        </row>
        <row r="242">
          <cell r="A242" t="str">
            <v>2012-234</v>
          </cell>
          <cell r="B242" t="str">
            <v>FRONT SHOCK SUPPORT 2017</v>
          </cell>
          <cell r="C242" t="str">
            <v>torreta de amortiguadores tren delantero viejo</v>
          </cell>
        </row>
        <row r="243">
          <cell r="A243" t="str">
            <v>2012-235</v>
          </cell>
          <cell r="B243" t="str">
            <v>RADIO PLATE CONNECTION TRIANGLE 2017</v>
          </cell>
          <cell r="C243" t="str">
            <v>triangulo de salvaservo tren delantero nuevo</v>
          </cell>
        </row>
        <row r="244">
          <cell r="A244" t="str">
            <v>2012-236</v>
          </cell>
          <cell r="B244" t="str">
            <v>PLASTIC SPACER FOR CONNECTION TRIANGLE 2017</v>
          </cell>
          <cell r="C244" t="str">
            <v>plasticos de triangulo de salva servo</v>
          </cell>
        </row>
        <row r="245">
          <cell r="A245" t="str">
            <v>2012-237</v>
          </cell>
          <cell r="B245" t="str">
            <v>DOUBLE SERVO RADIO PLATE 2017</v>
          </cell>
          <cell r="C245" t="str">
            <v>radio train tren delantero nuevo</v>
          </cell>
        </row>
        <row r="246">
          <cell r="A246" t="str">
            <v>2012-238</v>
          </cell>
          <cell r="B246" t="str">
            <v>SERVO SAVER SHAFT 2017</v>
          </cell>
          <cell r="C246" t="str">
            <v>eje de salvaservo nuevo</v>
          </cell>
        </row>
        <row r="247">
          <cell r="A247" t="str">
            <v>2012-239</v>
          </cell>
          <cell r="B247" t="str">
            <v>SERVO SAVER BUSH 2017</v>
          </cell>
          <cell r="C247" t="str">
            <v>parte de salvaservo nuevo</v>
          </cell>
        </row>
        <row r="248">
          <cell r="A248" t="str">
            <v>2012-240</v>
          </cell>
          <cell r="B248" t="str">
            <v>SERVO SAVER ADJUSTEMENT NUT 2017</v>
          </cell>
          <cell r="C248" t="str">
            <v>tuerca de ajuste salva servo</v>
          </cell>
        </row>
        <row r="249">
          <cell r="A249" t="str">
            <v>2012-241</v>
          </cell>
          <cell r="B249" t="str">
            <v>SERVO SAVER NUT O RING 2017</v>
          </cell>
          <cell r="C249" t="str">
            <v>oring salva servo</v>
          </cell>
        </row>
        <row r="250">
          <cell r="A250" t="str">
            <v>2012-242</v>
          </cell>
          <cell r="B250" t="str">
            <v>SERVO SAVER SPRING 2.6 MM</v>
          </cell>
          <cell r="C250" t="str">
            <v>resorte salvaservo</v>
          </cell>
        </row>
        <row r="251">
          <cell r="A251" t="str">
            <v>2012-244</v>
          </cell>
          <cell r="B251" t="str">
            <v>SERVO SAVER LOWER BODY 2017</v>
          </cell>
          <cell r="C251" t="str">
            <v>cuerpo inferior salvaservo</v>
          </cell>
        </row>
        <row r="252">
          <cell r="A252" t="str">
            <v>2012-245</v>
          </cell>
          <cell r="B252" t="str">
            <v>SERVO SAVER END 4 HOLES 2017</v>
          </cell>
          <cell r="C252" t="str">
            <v>pieza salvaservo ackkerman</v>
          </cell>
        </row>
        <row r="253">
          <cell r="A253" t="str">
            <v>2012-246</v>
          </cell>
          <cell r="B253" t="str">
            <v>SERVO SAVER END 6 HOLES 2017</v>
          </cell>
          <cell r="C253" t="str">
            <v>pieza salvaservo ackkerman</v>
          </cell>
        </row>
        <row r="254">
          <cell r="A254" t="str">
            <v>2012-248</v>
          </cell>
          <cell r="B254" t="str">
            <v>SERVO SAVER UPPER BODY 2017</v>
          </cell>
          <cell r="C254" t="str">
            <v>cuerpo superior salvaservo</v>
          </cell>
        </row>
        <row r="255">
          <cell r="A255" t="str">
            <v>2012-249</v>
          </cell>
          <cell r="B255" t="str">
            <v>TITANIUM FRONT ANTI ROLL BAR KIT 2017</v>
          </cell>
          <cell r="C255" t="str">
            <v>kit de barra delantera nueva</v>
          </cell>
        </row>
        <row r="256">
          <cell r="A256" t="str">
            <v>2012-250</v>
          </cell>
          <cell r="B256" t="str">
            <v>TITANIUM FRONT ANTI ROLL BAR AXLE 2017</v>
          </cell>
          <cell r="C256" t="str">
            <v>barra central delantera de la barra</v>
          </cell>
        </row>
        <row r="257">
          <cell r="A257" t="str">
            <v>2012-251</v>
          </cell>
          <cell r="B257" t="str">
            <v>BODY MOUNT ANTIROLL BAR BLADE LH</v>
          </cell>
          <cell r="C257" t="str">
            <v>cuerpo de aluminio donde monta barra izquierda</v>
          </cell>
        </row>
        <row r="258">
          <cell r="A258" t="str">
            <v>2012-252</v>
          </cell>
          <cell r="B258" t="str">
            <v>BODY MOUNT ANTIROLL BAR BLADE RH</v>
          </cell>
          <cell r="C258" t="str">
            <v>cuerpo de aluminio donde monta barra derecha</v>
          </cell>
        </row>
        <row r="259">
          <cell r="A259" t="str">
            <v>2012-253</v>
          </cell>
          <cell r="B259" t="str">
            <v>TITANIUM BLADE ANTIROLL BAR 2.75 MM</v>
          </cell>
          <cell r="C259" t="str">
            <v>barra 2.75</v>
          </cell>
        </row>
        <row r="260">
          <cell r="A260" t="str">
            <v>2012-254</v>
          </cell>
          <cell r="B260" t="str">
            <v>TITANIUM BLADE ANTIROLL BAR 2.5 MM</v>
          </cell>
          <cell r="C260" t="str">
            <v>barra 2.5</v>
          </cell>
        </row>
        <row r="261">
          <cell r="A261" t="str">
            <v>2012-255</v>
          </cell>
          <cell r="B261" t="str">
            <v>TITANIUM BLADE ANTIROLL BAR 2.00 MM</v>
          </cell>
          <cell r="C261" t="str">
            <v>barra 2</v>
          </cell>
        </row>
        <row r="262">
          <cell r="A262" t="str">
            <v>2012-256</v>
          </cell>
          <cell r="B262" t="str">
            <v>TITANIUM BLADE ANTIROLL BAR 1.75 MM</v>
          </cell>
          <cell r="C262" t="str">
            <v>barra 1.75</v>
          </cell>
        </row>
        <row r="263">
          <cell r="A263" t="str">
            <v>2012-257</v>
          </cell>
          <cell r="B263" t="str">
            <v>TITANIUM BLADE ANTIROLL BAR 2.25 MM</v>
          </cell>
          <cell r="C263" t="str">
            <v xml:space="preserve">barra 2.25 </v>
          </cell>
        </row>
        <row r="264">
          <cell r="A264" t="str">
            <v>2012-258</v>
          </cell>
          <cell r="B264" t="str">
            <v>TITANIUM BLADE ANTIROLL BAR 1.5 MM</v>
          </cell>
          <cell r="C264" t="str">
            <v>barra 1.5</v>
          </cell>
        </row>
        <row r="265">
          <cell r="A265" t="str">
            <v>2012-262</v>
          </cell>
          <cell r="B265" t="str">
            <v>SERVO SAVER HOLDER</v>
          </cell>
          <cell r="C265" t="str">
            <v>traba salvaservo alinear</v>
          </cell>
        </row>
        <row r="266">
          <cell r="A266" t="str">
            <v>2012-263</v>
          </cell>
          <cell r="B266" t="str">
            <v>LOWER REAR SHOCK MOUNT KIT</v>
          </cell>
          <cell r="C266" t="str">
            <v>kit de posicion de amoriguador trasero de 3 agujeros</v>
          </cell>
        </row>
        <row r="267">
          <cell r="A267" t="str">
            <v>2012-264</v>
          </cell>
          <cell r="B267" t="str">
            <v>REAR LONG LOWER SHOCK FORK 3 HOLES</v>
          </cell>
          <cell r="C267" t="str">
            <v>pieza de 3 agujeros de amortiguador trasero SOLA . sin kit</v>
          </cell>
        </row>
        <row r="268">
          <cell r="A268" t="str">
            <v>2012-265</v>
          </cell>
          <cell r="B268" t="str">
            <v>COMPLETE ADJUSTABLE KIT FRONT LOWER ENGINE MOUNT</v>
          </cell>
          <cell r="C268" t="str">
            <v>kit de agarre de motor delantero . con lateral incluido</v>
          </cell>
        </row>
        <row r="269">
          <cell r="A269" t="str">
            <v>2012-266</v>
          </cell>
          <cell r="B269" t="str">
            <v>FRONT LOWER ENGINE MOUNT KIT</v>
          </cell>
          <cell r="C269" t="str">
            <v>agarre de motor delantero sin lateral</v>
          </cell>
        </row>
        <row r="270">
          <cell r="A270" t="str">
            <v>2012-267</v>
          </cell>
          <cell r="B270" t="str">
            <v>RADIO PLATE 2019 FOR 3 STANDARD SERVO</v>
          </cell>
          <cell r="C270" t="str">
            <v>radiotrain para 3 servos chicos</v>
          </cell>
        </row>
        <row r="271">
          <cell r="A271" t="str">
            <v>2012-270</v>
          </cell>
          <cell r="B271" t="str">
            <v>SIDE STIFFENER CHASSIS 2017 LH. RH</v>
          </cell>
          <cell r="C271" t="str">
            <v>laterales de chasis para pernos</v>
          </cell>
        </row>
        <row r="272">
          <cell r="A272" t="str">
            <v>2012-271</v>
          </cell>
          <cell r="B272" t="str">
            <v>CARBON FIBER PIPE SUPPORT FOR SAMBA 8</v>
          </cell>
          <cell r="C272" t="str">
            <v>soporte samba 8</v>
          </cell>
        </row>
        <row r="273">
          <cell r="A273" t="str">
            <v>2012-272</v>
          </cell>
          <cell r="B273" t="str">
            <v>CARBON FIBER SUPPORT FOR FUEL RECOVERY</v>
          </cell>
          <cell r="C273" t="str">
            <v>carbono para tachito</v>
          </cell>
        </row>
        <row r="274">
          <cell r="A274" t="str">
            <v>2012-273</v>
          </cell>
          <cell r="B274" t="str">
            <v>NEW FRONT UPRIGHT</v>
          </cell>
          <cell r="C274" t="str">
            <v>masa NUEVA</v>
          </cell>
        </row>
        <row r="275">
          <cell r="A275" t="str">
            <v>2012-274</v>
          </cell>
          <cell r="B275" t="str">
            <v>NEW BAG FOR LARGE SCALE MODEL</v>
          </cell>
          <cell r="C275" t="str">
            <v>bolso de auto</v>
          </cell>
        </row>
        <row r="276">
          <cell r="A276" t="str">
            <v>2012-275</v>
          </cell>
          <cell r="B276" t="str">
            <v>BODYSHELL SUPPORT. SUITABLE FOR  SAMBA 7 AND SAMBA 8</v>
          </cell>
          <cell r="C276" t="str">
            <v>palito de carroceria doblado</v>
          </cell>
        </row>
        <row r="277">
          <cell r="A277" t="str">
            <v>2012-276</v>
          </cell>
          <cell r="B277" t="str">
            <v>NEW ACCESSORIES BAG</v>
          </cell>
          <cell r="C277" t="str">
            <v xml:space="preserve">bolso </v>
          </cell>
        </row>
        <row r="278">
          <cell r="A278" t="str">
            <v>2012-277</v>
          </cell>
          <cell r="B278" t="str">
            <v>CAR COVER</v>
          </cell>
          <cell r="C278" t="str">
            <v>covertor de autos</v>
          </cell>
        </row>
        <row r="279">
          <cell r="A279" t="str">
            <v>2012-278</v>
          </cell>
          <cell r="B279" t="str">
            <v>LEFT SIDE BRACE</v>
          </cell>
          <cell r="C279" t="str">
            <v>Tensor largo izquierdo</v>
          </cell>
        </row>
        <row r="280">
          <cell r="A280" t="str">
            <v>2012-279</v>
          </cell>
          <cell r="B280" t="str">
            <v>FUEL TANK PLASTIC BOTTLE ONLY</v>
          </cell>
          <cell r="C280" t="str">
            <v xml:space="preserve">tanque nuevo </v>
          </cell>
        </row>
        <row r="281">
          <cell r="A281" t="str">
            <v>2012-280</v>
          </cell>
          <cell r="B281" t="str">
            <v>PERFORMANCE KIT</v>
          </cell>
          <cell r="C281" t="str">
            <v>Kit de performance . ver foto</v>
          </cell>
        </row>
        <row r="282">
          <cell r="A282" t="str">
            <v>2012-281</v>
          </cell>
          <cell r="B282" t="str">
            <v>LOWER ROLL BAR MOUNT LH 3 HOLES 2019</v>
          </cell>
          <cell r="C282" t="str">
            <v>soporte barra nueva mas dura izquierda</v>
          </cell>
        </row>
        <row r="283">
          <cell r="A283" t="str">
            <v>2012-282</v>
          </cell>
          <cell r="B283" t="str">
            <v>LOWER ROLL BAR MOUNT RH 3 HOLES 2019</v>
          </cell>
          <cell r="C283" t="str">
            <v>soporte barra nueva mas dura derecha</v>
          </cell>
        </row>
        <row r="284">
          <cell r="A284" t="str">
            <v>2012-283</v>
          </cell>
          <cell r="C284" t="str">
            <v>Chasis corto KIT 2020 sin laterales</v>
          </cell>
        </row>
        <row r="285">
          <cell r="A285" t="str">
            <v>2012-284</v>
          </cell>
          <cell r="C285" t="str">
            <v>chasis corto 2020 3 servos sin laterales</v>
          </cell>
        </row>
        <row r="286">
          <cell r="A286" t="str">
            <v>2021-04</v>
          </cell>
          <cell r="C286" t="str">
            <v>BAQUELITA corta</v>
          </cell>
        </row>
        <row r="287">
          <cell r="A287" t="str">
            <v>2021-05</v>
          </cell>
          <cell r="C287" t="str">
            <v>BAQUELITA</v>
          </cell>
        </row>
        <row r="288">
          <cell r="A288" t="str">
            <v>2021-21</v>
          </cell>
          <cell r="C288" t="str">
            <v>carburador</v>
          </cell>
        </row>
        <row r="289">
          <cell r="A289" t="str">
            <v>TW-01</v>
          </cell>
          <cell r="B289" t="str">
            <v>T-SHIRT</v>
          </cell>
          <cell r="C289" t="str">
            <v>remera</v>
          </cell>
        </row>
        <row r="290">
          <cell r="A290" t="str">
            <v>TW-02</v>
          </cell>
          <cell r="B290" t="str">
            <v>SWEATSHIRT</v>
          </cell>
          <cell r="C290" t="str">
            <v xml:space="preserve">buzo </v>
          </cell>
        </row>
        <row r="291">
          <cell r="A291" t="str">
            <v>TW-03</v>
          </cell>
          <cell r="B291" t="str">
            <v>WINTER CAP</v>
          </cell>
          <cell r="C291" t="str">
            <v>campera rompevientos</v>
          </cell>
        </row>
        <row r="292">
          <cell r="A292" t="str">
            <v>TW-04</v>
          </cell>
          <cell r="B292" t="str">
            <v>WINTER JACKET</v>
          </cell>
          <cell r="C292" t="str">
            <v>campera de invierno</v>
          </cell>
        </row>
        <row r="293">
          <cell r="A293" t="str">
            <v>2015-light</v>
          </cell>
          <cell r="C293" t="str">
            <v>DIFERENCIAL COMPLETO</v>
          </cell>
        </row>
        <row r="294">
          <cell r="A294" t="str">
            <v>2015-40L</v>
          </cell>
          <cell r="C294" t="str">
            <v>DIFERENCIAL SOLO</v>
          </cell>
        </row>
        <row r="295">
          <cell r="A295" t="str">
            <v>2015-41L</v>
          </cell>
          <cell r="C295" t="str">
            <v>TAPA LIVIANA DE DIFF</v>
          </cell>
        </row>
        <row r="298">
          <cell r="A298" t="str">
            <v>1001 F</v>
          </cell>
          <cell r="C298" t="str">
            <v>KIT FRENO DELANTERO</v>
          </cell>
        </row>
        <row r="299">
          <cell r="A299" t="str">
            <v>1001 R</v>
          </cell>
          <cell r="C299" t="str">
            <v>KIT FRENO TRASERO</v>
          </cell>
        </row>
        <row r="300">
          <cell r="A300">
            <v>1000</v>
          </cell>
          <cell r="C300" t="str">
            <v>BOMBA COMPLETA SOLA</v>
          </cell>
        </row>
        <row r="301">
          <cell r="A301" t="str">
            <v>1000-01</v>
          </cell>
          <cell r="C301" t="str">
            <v>PERNO DE BOMBA</v>
          </cell>
        </row>
        <row r="302">
          <cell r="A302" t="str">
            <v>1000-02</v>
          </cell>
          <cell r="C302" t="str">
            <v>PALANCA DE ACCION DE BOMBA</v>
          </cell>
        </row>
        <row r="303">
          <cell r="A303" t="str">
            <v>1000-03</v>
          </cell>
          <cell r="C303" t="str">
            <v>ENCASTRE DE PALANCA</v>
          </cell>
        </row>
        <row r="304">
          <cell r="A304" t="str">
            <v>1000-04</v>
          </cell>
          <cell r="C304" t="str">
            <v>FUELLE DE BOMBA</v>
          </cell>
        </row>
        <row r="305">
          <cell r="A305" t="str">
            <v>1000-05</v>
          </cell>
          <cell r="C305" t="str">
            <v>PISTON DE FRENO DE BOMBA</v>
          </cell>
        </row>
        <row r="306">
          <cell r="A306" t="str">
            <v>1000-06</v>
          </cell>
          <cell r="C306" t="str">
            <v>RESORTE DE FRENO</v>
          </cell>
        </row>
        <row r="307">
          <cell r="A307" t="str">
            <v>1000-07</v>
          </cell>
          <cell r="C307" t="str">
            <v>PERNO DE PIVOT</v>
          </cell>
        </row>
        <row r="308">
          <cell r="A308" t="str">
            <v>1000-08</v>
          </cell>
          <cell r="C308" t="str">
            <v>CUERPO DE BOMBA</v>
          </cell>
        </row>
        <row r="309">
          <cell r="A309" t="str">
            <v>1000-09</v>
          </cell>
          <cell r="C309" t="str">
            <v>MEMBRANA</v>
          </cell>
        </row>
        <row r="310">
          <cell r="A310" t="str">
            <v>1000-10</v>
          </cell>
          <cell r="C310" t="str">
            <v>TAPA DE BOMBA</v>
          </cell>
        </row>
        <row r="311">
          <cell r="A311" t="str">
            <v>1000-11</v>
          </cell>
          <cell r="C311" t="str">
            <v xml:space="preserve">CEGER DE PISTON </v>
          </cell>
        </row>
        <row r="312">
          <cell r="A312" t="str">
            <v>1000-12</v>
          </cell>
          <cell r="C312" t="str">
            <v>TORNILLOS DE BOMBA</v>
          </cell>
        </row>
        <row r="313">
          <cell r="A313" t="str">
            <v>1000-13</v>
          </cell>
          <cell r="C313" t="str">
            <v>PURGADOR</v>
          </cell>
        </row>
        <row r="314">
          <cell r="A314" t="str">
            <v>1000-14</v>
          </cell>
          <cell r="C314" t="str">
            <v>RACKOR DE FRENO</v>
          </cell>
        </row>
        <row r="315">
          <cell r="A315" t="str">
            <v>1000-15</v>
          </cell>
          <cell r="C315" t="str">
            <v>ALOJAMIENTO DE PERNO DE PIVOT</v>
          </cell>
        </row>
        <row r="316">
          <cell r="A316" t="str">
            <v>1000-30</v>
          </cell>
          <cell r="C316" t="str">
            <v xml:space="preserve">cuerpo de caliper derecho </v>
          </cell>
        </row>
        <row r="317">
          <cell r="A317" t="str">
            <v>1000-31</v>
          </cell>
          <cell r="C317" t="str">
            <v>cuerpo de caliper izquierdo</v>
          </cell>
        </row>
        <row r="318">
          <cell r="A318" t="str">
            <v>1000-32</v>
          </cell>
          <cell r="C318" t="str">
            <v>tornillo que agarra pieza donde aprieta caliper</v>
          </cell>
        </row>
        <row r="319">
          <cell r="A319" t="str">
            <v>1000-33</v>
          </cell>
          <cell r="C319" t="str">
            <v>tornillo de caliper</v>
          </cell>
        </row>
        <row r="320">
          <cell r="A320" t="str">
            <v>1000-34</v>
          </cell>
          <cell r="C320" t="str">
            <v>reten de piston</v>
          </cell>
        </row>
        <row r="321">
          <cell r="A321" t="str">
            <v>1000-35</v>
          </cell>
          <cell r="C321" t="str">
            <v xml:space="preserve">piston de caliper </v>
          </cell>
        </row>
        <row r="322">
          <cell r="A322" t="str">
            <v>1000-36</v>
          </cell>
          <cell r="C322" t="str">
            <v>oring de piston</v>
          </cell>
        </row>
        <row r="323">
          <cell r="A323" t="str">
            <v>1000-37</v>
          </cell>
          <cell r="C323" t="str">
            <v>perno de caliper</v>
          </cell>
        </row>
        <row r="324">
          <cell r="A324" t="str">
            <v>1000-38</v>
          </cell>
          <cell r="C324" t="str">
            <v xml:space="preserve">pastilla de freno </v>
          </cell>
        </row>
        <row r="325">
          <cell r="A325" t="str">
            <v>1000-39</v>
          </cell>
          <cell r="C325" t="str">
            <v>resorte de caliper</v>
          </cell>
        </row>
        <row r="326">
          <cell r="A326" t="str">
            <v>1000-40</v>
          </cell>
          <cell r="C326" t="str">
            <v>disco de freno viejo</v>
          </cell>
        </row>
        <row r="327">
          <cell r="A327" t="str">
            <v>1000-41</v>
          </cell>
          <cell r="C327" t="str">
            <v>tapa de caliper</v>
          </cell>
        </row>
        <row r="328">
          <cell r="A328" t="str">
            <v>1000-42</v>
          </cell>
          <cell r="C328" t="str">
            <v>tornillo de tapa de caliper</v>
          </cell>
        </row>
        <row r="329">
          <cell r="A329" t="str">
            <v>1000-43</v>
          </cell>
          <cell r="C329" t="str">
            <v>CONECTOR T DE PLASTICO , DIVISOR DE FRENO</v>
          </cell>
        </row>
        <row r="330">
          <cell r="A330" t="str">
            <v>1000-50</v>
          </cell>
          <cell r="C330" t="str">
            <v>PLACA DE AGARRE DE CALIPER DELANTERA</v>
          </cell>
        </row>
        <row r="331">
          <cell r="A331" t="str">
            <v>1000-51</v>
          </cell>
          <cell r="C331" t="str">
            <v>PLACA DE AGARRE DE CALIPER TRASERA</v>
          </cell>
        </row>
        <row r="332">
          <cell r="A332" t="str">
            <v>1000-52</v>
          </cell>
          <cell r="C332" t="str">
            <v>CONECTOR DE PLASTICO 45</v>
          </cell>
        </row>
        <row r="333">
          <cell r="A333" t="str">
            <v>1000-53</v>
          </cell>
          <cell r="C333" t="str">
            <v>liquido de frenO VERDE</v>
          </cell>
        </row>
        <row r="334">
          <cell r="A334" t="str">
            <v>1000-54</v>
          </cell>
          <cell r="C334" t="str">
            <v>Manguera de freno 1 metro</v>
          </cell>
        </row>
        <row r="335">
          <cell r="A335" t="str">
            <v>1000-55</v>
          </cell>
          <cell r="B335" t="str">
            <v>rear steel conector</v>
          </cell>
        </row>
        <row r="336">
          <cell r="A336" t="str">
            <v>1000-58</v>
          </cell>
          <cell r="C336" t="str">
            <v>kit de freno de pastillas de 2.4 EN PAG DE VICTOR</v>
          </cell>
        </row>
        <row r="337">
          <cell r="A337" t="str">
            <v>1000-59</v>
          </cell>
          <cell r="C337" t="str">
            <v>pastillas de freno nuevas de 2,4</v>
          </cell>
        </row>
        <row r="338">
          <cell r="A338" t="str">
            <v>1000-60</v>
          </cell>
          <cell r="C338" t="str">
            <v>covertor de pastilla de freno de 2,4</v>
          </cell>
        </row>
        <row r="339">
          <cell r="A339" t="str">
            <v>1000-62</v>
          </cell>
          <cell r="C339" t="str">
            <v>membrana para dot 4</v>
          </cell>
        </row>
        <row r="340">
          <cell r="A340" t="str">
            <v>1000-63</v>
          </cell>
          <cell r="C340" t="str">
            <v>kit de conversion dot 4</v>
          </cell>
        </row>
        <row r="341">
          <cell r="A341" t="str">
            <v>1000-64</v>
          </cell>
          <cell r="C341" t="str">
            <v>liquido de freno dot 4</v>
          </cell>
        </row>
        <row r="342">
          <cell r="A342" t="str">
            <v>1000-65</v>
          </cell>
          <cell r="C342" t="str">
            <v>Chapita companza uso de disco</v>
          </cell>
        </row>
        <row r="343">
          <cell r="C343" t="str">
            <v>RACKOR DE FRENO</v>
          </cell>
        </row>
        <row r="344">
          <cell r="A344">
            <v>2009</v>
          </cell>
          <cell r="C344" t="str">
            <v xml:space="preserve">AMORTIGUADOR COMPLETO </v>
          </cell>
        </row>
        <row r="345">
          <cell r="A345" t="str">
            <v>2009-00</v>
          </cell>
          <cell r="C345" t="str">
            <v>resorte verde</v>
          </cell>
        </row>
        <row r="346">
          <cell r="A346" t="str">
            <v>2009-01</v>
          </cell>
          <cell r="C346" t="str">
            <v>resorte anaranja</v>
          </cell>
        </row>
        <row r="347">
          <cell r="A347" t="str">
            <v>2009-02</v>
          </cell>
          <cell r="C347" t="str">
            <v>resorte azul</v>
          </cell>
        </row>
        <row r="348">
          <cell r="A348" t="str">
            <v>2009-03</v>
          </cell>
          <cell r="C348" t="str">
            <v>resorte rojo</v>
          </cell>
        </row>
        <row r="349">
          <cell r="A349" t="str">
            <v>2009-04</v>
          </cell>
          <cell r="C349" t="str">
            <v>resorte amarillo</v>
          </cell>
        </row>
        <row r="350">
          <cell r="A350" t="str">
            <v>2009-07</v>
          </cell>
          <cell r="C350" t="str">
            <v>resorte blanco</v>
          </cell>
        </row>
        <row r="351">
          <cell r="A351" t="str">
            <v>2009-08</v>
          </cell>
          <cell r="C351" t="str">
            <v>resorte gris</v>
          </cell>
        </row>
        <row r="352">
          <cell r="A352" t="str">
            <v>2009-09</v>
          </cell>
          <cell r="C352" t="str">
            <v>resorte negro</v>
          </cell>
        </row>
        <row r="354">
          <cell r="A354" t="str">
            <v>2009-12</v>
          </cell>
          <cell r="C354" t="str">
            <v>bujes de amortiguador para montaje</v>
          </cell>
        </row>
        <row r="355">
          <cell r="A355" t="str">
            <v>2009-13</v>
          </cell>
          <cell r="C355" t="str">
            <v>tornillos para cargar</v>
          </cell>
        </row>
        <row r="356">
          <cell r="A356" t="str">
            <v>2009-14</v>
          </cell>
        </row>
        <row r="357">
          <cell r="A357" t="str">
            <v>2009-15</v>
          </cell>
        </row>
        <row r="358">
          <cell r="A358" t="str">
            <v>2009-16</v>
          </cell>
        </row>
        <row r="359">
          <cell r="A359" t="str">
            <v>2009-17</v>
          </cell>
        </row>
        <row r="360">
          <cell r="A360" t="str">
            <v>2009-18</v>
          </cell>
          <cell r="C360" t="str">
            <v>piston plastico de compensacion</v>
          </cell>
        </row>
        <row r="361">
          <cell r="A361" t="str">
            <v>2009-19</v>
          </cell>
          <cell r="C361" t="str">
            <v>valvula interna de compensacion</v>
          </cell>
        </row>
        <row r="362">
          <cell r="A362" t="str">
            <v>2009-20</v>
          </cell>
          <cell r="C362" t="str">
            <v>resorte interno de compensacion</v>
          </cell>
        </row>
        <row r="363">
          <cell r="A363" t="str">
            <v>2009-21</v>
          </cell>
          <cell r="C363" t="str">
            <v>oring de 2do cuerpo</v>
          </cell>
        </row>
        <row r="364">
          <cell r="A364" t="str">
            <v>2009-22</v>
          </cell>
          <cell r="C364" t="str">
            <v>cuerpo de compensacion</v>
          </cell>
        </row>
        <row r="365">
          <cell r="A365" t="str">
            <v>2009-23</v>
          </cell>
        </row>
        <row r="366">
          <cell r="A366" t="str">
            <v>2009-24</v>
          </cell>
          <cell r="C366" t="str">
            <v>oring de rosca de compresion</v>
          </cell>
        </row>
        <row r="367">
          <cell r="A367" t="str">
            <v>2009-25</v>
          </cell>
          <cell r="C367" t="str">
            <v>rosca de compresion espiral</v>
          </cell>
        </row>
        <row r="368">
          <cell r="A368" t="str">
            <v>2009-26</v>
          </cell>
        </row>
        <row r="369">
          <cell r="A369" t="str">
            <v>2009-27</v>
          </cell>
        </row>
        <row r="370">
          <cell r="A370" t="str">
            <v>2009-28</v>
          </cell>
          <cell r="C370" t="str">
            <v>cuerpo ingerior con oring completo</v>
          </cell>
        </row>
        <row r="371">
          <cell r="A371" t="str">
            <v>2009-29</v>
          </cell>
          <cell r="C371" t="str">
            <v>oring de cuerpo inferior</v>
          </cell>
        </row>
        <row r="372">
          <cell r="A372" t="str">
            <v>2009-30</v>
          </cell>
          <cell r="C372" t="str">
            <v>oring pequeños de cuerpo inferior (rojos)</v>
          </cell>
        </row>
        <row r="373">
          <cell r="A373" t="str">
            <v>2009-31</v>
          </cell>
        </row>
        <row r="374">
          <cell r="A374" t="str">
            <v>2009-32</v>
          </cell>
          <cell r="C374" t="str">
            <v>cazoleta de amortiguador</v>
          </cell>
        </row>
        <row r="375">
          <cell r="A375" t="str">
            <v>2009-33</v>
          </cell>
          <cell r="C375" t="str">
            <v>tuerca de soporte inferior</v>
          </cell>
        </row>
        <row r="376">
          <cell r="A376" t="str">
            <v>2009-34</v>
          </cell>
          <cell r="C376" t="str">
            <v>extremo amortiguador CORTO</v>
          </cell>
        </row>
        <row r="377">
          <cell r="A377" t="str">
            <v>2009-35</v>
          </cell>
        </row>
        <row r="378">
          <cell r="A378" t="str">
            <v>2009-36</v>
          </cell>
          <cell r="C378" t="str">
            <v>extremo de amortiguaodr largo</v>
          </cell>
        </row>
        <row r="379">
          <cell r="A379" t="str">
            <v>2009-39</v>
          </cell>
          <cell r="C379" t="str">
            <v>Cuerpo de amoriguador</v>
          </cell>
        </row>
        <row r="380">
          <cell r="A380" t="str">
            <v>2009-41</v>
          </cell>
          <cell r="C380" t="str">
            <v>pistones de amortiguador 1,4</v>
          </cell>
        </row>
        <row r="381">
          <cell r="A381" t="str">
            <v>2009-42</v>
          </cell>
          <cell r="C381" t="str">
            <v>vastago DORADO</v>
          </cell>
        </row>
        <row r="382">
          <cell r="A382" t="str">
            <v>2009-43</v>
          </cell>
          <cell r="C382" t="str">
            <v>PISTON DE 1,5</v>
          </cell>
        </row>
        <row r="383">
          <cell r="A383" t="str">
            <v>2009-44</v>
          </cell>
          <cell r="C383" t="str">
            <v>PISTON DE 1,8</v>
          </cell>
        </row>
        <row r="384">
          <cell r="A384">
            <v>2019</v>
          </cell>
          <cell r="C384" t="str">
            <v>amortiguador nuevo completo</v>
          </cell>
        </row>
        <row r="385">
          <cell r="A385" t="str">
            <v>2019-10</v>
          </cell>
          <cell r="C385" t="str">
            <v>kit de transformacion</v>
          </cell>
        </row>
        <row r="387">
          <cell r="A387" t="str">
            <v>2020-01</v>
          </cell>
          <cell r="B387" t="str">
            <v>COMPLETE CLUTCH</v>
          </cell>
          <cell r="C387" t="str">
            <v>Embregue completo</v>
          </cell>
        </row>
        <row r="388">
          <cell r="A388" t="str">
            <v>2020-02</v>
          </cell>
          <cell r="B388" t="str">
            <v>COMPLETE CLUTCH</v>
          </cell>
          <cell r="C388" t="str">
            <v>Embregue completo</v>
          </cell>
        </row>
        <row r="389">
          <cell r="A389" t="str">
            <v>2020-03</v>
          </cell>
          <cell r="B389" t="str">
            <v>CLUTCH ADJUSTING TOOL</v>
          </cell>
          <cell r="C389" t="str">
            <v>herramienta de ajuste</v>
          </cell>
        </row>
        <row r="390">
          <cell r="A390" t="str">
            <v>2020-04</v>
          </cell>
          <cell r="B390" t="str">
            <v>TOOL TO PRELOAD CLUTCH ADJUSTMENT</v>
          </cell>
          <cell r="C390" t="str">
            <v xml:space="preserve">herramienta para desanclar </v>
          </cell>
        </row>
        <row r="391">
          <cell r="A391" t="str">
            <v>2020-05</v>
          </cell>
          <cell r="B391" t="str">
            <v>REPLACEMENT SHOES 1CARBON 2ALLUMINIUM</v>
          </cell>
          <cell r="C391" t="str">
            <v>zapatas 2 alu + 1 carbomo</v>
          </cell>
        </row>
        <row r="392">
          <cell r="A392" t="str">
            <v>2020-06</v>
          </cell>
          <cell r="B392" t="str">
            <v>REPLACEMENT SHOES 3 CARBON</v>
          </cell>
          <cell r="C392" t="str">
            <v>3 zapatas de carbono</v>
          </cell>
        </row>
        <row r="393">
          <cell r="A393" t="str">
            <v>2020-07</v>
          </cell>
          <cell r="B393" t="str">
            <v>SPARE SPRINGS 2.4</v>
          </cell>
          <cell r="C393" t="str">
            <v>resortes 2.4</v>
          </cell>
        </row>
        <row r="394">
          <cell r="A394" t="str">
            <v>2020-08</v>
          </cell>
          <cell r="B394" t="str">
            <v xml:space="preserve">CLUTCH BODY FOR MEC / GENIUS </v>
          </cell>
          <cell r="C394" t="str">
            <v>cuerpo de embrague para meca</v>
          </cell>
        </row>
        <row r="395">
          <cell r="A395" t="str">
            <v>2020-09</v>
          </cell>
          <cell r="B395" t="str">
            <v>CLUTCH BODY RS5/FG</v>
          </cell>
          <cell r="C395" t="str">
            <v>cuerpo de embrague rs5</v>
          </cell>
        </row>
        <row r="396">
          <cell r="A396" t="str">
            <v>2020-10</v>
          </cell>
          <cell r="B396" t="str">
            <v>REPLACEMENT SHOES 3 ALUMINIUM</v>
          </cell>
          <cell r="C396" t="str">
            <v>3 zapatas de aluminio</v>
          </cell>
        </row>
        <row r="397">
          <cell r="A397" t="str">
            <v>2020-12</v>
          </cell>
          <cell r="B397" t="str">
            <v>CARBON PLATE</v>
          </cell>
          <cell r="C397" t="str">
            <v>tapa de carbono</v>
          </cell>
        </row>
        <row r="398">
          <cell r="A398" t="str">
            <v>2020-13</v>
          </cell>
          <cell r="B398" t="str">
            <v>SCREWS M3x8</v>
          </cell>
          <cell r="C398" t="str">
            <v>tornillos</v>
          </cell>
        </row>
        <row r="399">
          <cell r="A399" t="str">
            <v>2020-14</v>
          </cell>
          <cell r="B399" t="str">
            <v>PRELOAD CAM</v>
          </cell>
          <cell r="C399" t="str">
            <v>cuerpo para posiciones</v>
          </cell>
        </row>
        <row r="400">
          <cell r="A400" t="str">
            <v>2020-15</v>
          </cell>
          <cell r="B400" t="str">
            <v>RETAINING BUSH AND SCREW</v>
          </cell>
          <cell r="C400" t="str">
            <v>cono y tornillo para otros autos</v>
          </cell>
        </row>
        <row r="401">
          <cell r="A401" t="str">
            <v>2020-20</v>
          </cell>
          <cell r="C401" t="str">
            <v>zapatas bimetal</v>
          </cell>
        </row>
        <row r="402">
          <cell r="A402" t="str">
            <v>2020-18</v>
          </cell>
          <cell r="C402" t="str">
            <v>Embregue completo bi mat</v>
          </cell>
        </row>
        <row r="403">
          <cell r="A403">
            <v>2021</v>
          </cell>
          <cell r="C403" t="str">
            <v>ORING TANQUE</v>
          </cell>
        </row>
        <row r="405">
          <cell r="A405" t="str">
            <v>2015-19</v>
          </cell>
          <cell r="C405" t="str">
            <v>discos chicos diff</v>
          </cell>
        </row>
        <row r="406">
          <cell r="A406" t="str">
            <v>R0001</v>
          </cell>
          <cell r="C406" t="str">
            <v>Rackor de freno</v>
          </cell>
        </row>
        <row r="408">
          <cell r="A408" t="str">
            <v>GRP XM2</v>
          </cell>
          <cell r="C408" t="str">
            <v>Gomas</v>
          </cell>
        </row>
        <row r="409">
          <cell r="A409" t="str">
            <v>CARROCERIA CHEVY</v>
          </cell>
        </row>
        <row r="410">
          <cell r="A410" t="str">
            <v>CARROCERIA FORD</v>
          </cell>
        </row>
        <row r="411">
          <cell r="A411" t="str">
            <v>PMT</v>
          </cell>
          <cell r="C411" t="str">
            <v>Gomas</v>
          </cell>
        </row>
      </sheetData>
      <sheetData sheetId="4"/>
      <sheetData sheetId="5">
        <row r="1">
          <cell r="A1" t="str">
            <v>CODE</v>
          </cell>
          <cell r="B1" t="str">
            <v>ingles</v>
          </cell>
          <cell r="C1" t="str">
            <v>castellano</v>
          </cell>
          <cell r="D1" t="str">
            <v>Cantidad</v>
          </cell>
          <cell r="E1" t="str">
            <v>PESO EN G</v>
          </cell>
        </row>
        <row r="2">
          <cell r="A2" t="str">
            <v>2012</v>
          </cell>
          <cell r="B2" t="str">
            <v>COMPLETE CAR</v>
          </cell>
          <cell r="C2" t="str">
            <v>Auto completo con frenos y amortiguadores sin discos de freno de estrella</v>
          </cell>
          <cell r="D2" t="str">
            <v>1</v>
          </cell>
          <cell r="E2">
            <v>7000</v>
          </cell>
        </row>
        <row r="3">
          <cell r="A3">
            <v>0</v>
          </cell>
          <cell r="B3" t="str">
            <v>(WITH BRAKES AND SILICON SHOCKS)</v>
          </cell>
          <cell r="C3">
            <v>0</v>
          </cell>
          <cell r="D3">
            <v>0</v>
          </cell>
        </row>
        <row r="4">
          <cell r="A4" t="str">
            <v>2012-SH1</v>
          </cell>
          <cell r="B4" t="str">
            <v>COMPLETE SHORT CAR</v>
          </cell>
          <cell r="C4" t="str">
            <v>auto completo corto</v>
          </cell>
          <cell r="D4" t="str">
            <v>1</v>
          </cell>
        </row>
        <row r="5">
          <cell r="A5">
            <v>0</v>
          </cell>
          <cell r="B5" t="str">
            <v>(WITH BRAKES AND SILICON SHOCKS)</v>
          </cell>
          <cell r="C5">
            <v>0</v>
          </cell>
          <cell r="D5">
            <v>0</v>
          </cell>
        </row>
        <row r="6">
          <cell r="A6" t="str">
            <v>2012-SH2</v>
          </cell>
          <cell r="B6" t="str">
            <v>COMPLETE SHORT CAR</v>
          </cell>
          <cell r="C6">
            <v>0</v>
          </cell>
          <cell r="D6" t="str">
            <v>1</v>
          </cell>
        </row>
        <row r="7">
          <cell r="A7">
            <v>0</v>
          </cell>
          <cell r="B7" t="str">
            <v>(WITH NEW HUB BRAKES AND SILICON</v>
          </cell>
          <cell r="C7">
            <v>0</v>
          </cell>
          <cell r="D7">
            <v>0</v>
          </cell>
        </row>
        <row r="8">
          <cell r="A8">
            <v>0</v>
          </cell>
          <cell r="B8" t="str">
            <v>SHOCKS)</v>
          </cell>
          <cell r="C8">
            <v>0</v>
          </cell>
          <cell r="D8">
            <v>0</v>
          </cell>
        </row>
        <row r="9">
          <cell r="A9" t="str">
            <v>2012-04</v>
          </cell>
          <cell r="B9" t="str">
            <v>COMPLETE CAR</v>
          </cell>
          <cell r="C9">
            <v>0</v>
          </cell>
          <cell r="D9" t="str">
            <v>1</v>
          </cell>
        </row>
        <row r="10">
          <cell r="A10">
            <v>0</v>
          </cell>
          <cell r="B10" t="str">
            <v>(WITH NEW HUB BRAKES AND SILICON</v>
          </cell>
          <cell r="C10">
            <v>0</v>
          </cell>
          <cell r="D10">
            <v>0</v>
          </cell>
        </row>
        <row r="11">
          <cell r="A11">
            <v>0</v>
          </cell>
          <cell r="B11" t="str">
            <v>SHOCKS)</v>
          </cell>
          <cell r="C11">
            <v>0</v>
          </cell>
          <cell r="D11">
            <v>0</v>
          </cell>
        </row>
        <row r="12">
          <cell r="A12" t="str">
            <v>2012-04A</v>
          </cell>
          <cell r="B12" t="str">
            <v>COMPLETE CAR</v>
          </cell>
          <cell r="C12">
            <v>0</v>
          </cell>
          <cell r="D12" t="str">
            <v>1</v>
          </cell>
        </row>
        <row r="13">
          <cell r="A13">
            <v>0</v>
          </cell>
          <cell r="B13" t="str">
            <v>(WITH NEW BRAKE HUB. SILICON SHOCKS</v>
          </cell>
          <cell r="C13">
            <v>0</v>
          </cell>
          <cell r="D13">
            <v>0</v>
          </cell>
        </row>
        <row r="14">
          <cell r="A14">
            <v>0</v>
          </cell>
          <cell r="B14" t="str">
            <v>AND NEW BATTERY HOLDER SET)</v>
          </cell>
          <cell r="C14">
            <v>0</v>
          </cell>
          <cell r="D14">
            <v>0</v>
          </cell>
        </row>
        <row r="15">
          <cell r="A15" t="str">
            <v>2012-04B</v>
          </cell>
          <cell r="B15" t="str">
            <v>COMPLETE CAR</v>
          </cell>
          <cell r="C15" t="str">
            <v>auto full</v>
          </cell>
          <cell r="D15" t="str">
            <v>1</v>
          </cell>
        </row>
        <row r="16">
          <cell r="A16">
            <v>0</v>
          </cell>
          <cell r="B16" t="str">
            <v>(WITH NEW BRAKE HUB. SILICON SHOCKS.</v>
          </cell>
          <cell r="C16">
            <v>0</v>
          </cell>
          <cell r="D16">
            <v>0</v>
          </cell>
        </row>
        <row r="17">
          <cell r="A17">
            <v>0</v>
          </cell>
          <cell r="B17" t="str">
            <v>NEW BATTERY HOLDER SET AND</v>
          </cell>
          <cell r="C17">
            <v>0</v>
          </cell>
          <cell r="D17">
            <v>0</v>
          </cell>
        </row>
        <row r="18">
          <cell r="A18">
            <v>0</v>
          </cell>
          <cell r="B18" t="str">
            <v>REAR TITANIUM ANTI-ROLL BAR)</v>
          </cell>
          <cell r="C18">
            <v>0</v>
          </cell>
          <cell r="D18">
            <v>0</v>
          </cell>
        </row>
        <row r="19">
          <cell r="A19" t="str">
            <v>2012-06</v>
          </cell>
          <cell r="B19" t="str">
            <v>COMPLETE SET BUMPER</v>
          </cell>
          <cell r="C19" t="str">
            <v>bumper completo</v>
          </cell>
          <cell r="D19">
            <v>1</v>
          </cell>
          <cell r="E19">
            <v>160</v>
          </cell>
        </row>
        <row r="20">
          <cell r="A20" t="str">
            <v>2012-07</v>
          </cell>
          <cell r="B20" t="str">
            <v>PLASTIC SUPPORT  BUMPER</v>
          </cell>
          <cell r="C20" t="str">
            <v>plastico del bumper (solo)</v>
          </cell>
          <cell r="D20" t="str">
            <v>1</v>
          </cell>
          <cell r="E20">
            <v>50</v>
          </cell>
        </row>
        <row r="21">
          <cell r="A21" t="str">
            <v>2012-08</v>
          </cell>
          <cell r="B21" t="str">
            <v>FRONT BODY MOUNT</v>
          </cell>
          <cell r="C21" t="str">
            <v>palito de bumper</v>
          </cell>
          <cell r="D21" t="str">
            <v>1</v>
          </cell>
          <cell r="E21">
            <v>15</v>
          </cell>
        </row>
        <row r="22">
          <cell r="A22" t="str">
            <v>2012-09</v>
          </cell>
          <cell r="B22" t="str">
            <v>BUMPER FOAM</v>
          </cell>
          <cell r="C22" t="str">
            <v>goma del bumper</v>
          </cell>
          <cell r="D22" t="str">
            <v>1</v>
          </cell>
          <cell r="E22">
            <v>70</v>
          </cell>
        </row>
        <row r="23">
          <cell r="A23" t="str">
            <v>2012-10</v>
          </cell>
          <cell r="B23" t="str">
            <v>FASTENING STRIP FIXING BUMPER</v>
          </cell>
          <cell r="C23" t="str">
            <v>plasticos del bumper</v>
          </cell>
          <cell r="D23" t="str">
            <v>2</v>
          </cell>
          <cell r="E23">
            <v>15</v>
          </cell>
        </row>
        <row r="24">
          <cell r="A24" t="str">
            <v>2012-11</v>
          </cell>
          <cell r="B24" t="str">
            <v>BODYSHELL CLIPS</v>
          </cell>
          <cell r="C24" t="str">
            <v>ganchitos</v>
          </cell>
          <cell r="D24" t="str">
            <v>10</v>
          </cell>
          <cell r="E24">
            <v>25</v>
          </cell>
        </row>
        <row r="25">
          <cell r="A25" t="str">
            <v>2012-12</v>
          </cell>
          <cell r="B25" t="str">
            <v>M4 BOLT BUMPER FIXING SET</v>
          </cell>
          <cell r="C25" t="str">
            <v>tornillos del bumper</v>
          </cell>
          <cell r="D25" t="str">
            <v>9</v>
          </cell>
          <cell r="E25">
            <v>20</v>
          </cell>
        </row>
        <row r="26">
          <cell r="A26" t="str">
            <v>2012-13</v>
          </cell>
          <cell r="B26" t="str">
            <v>CARBON FIBER FRONT BODY SUPPORT</v>
          </cell>
          <cell r="C26" t="str">
            <v>carbono delantero de carroceria</v>
          </cell>
          <cell r="D26" t="str">
            <v>1</v>
          </cell>
          <cell r="E26">
            <v>25</v>
          </cell>
        </row>
        <row r="27">
          <cell r="A27" t="str">
            <v>2012-14</v>
          </cell>
          <cell r="B27" t="str">
            <v>FRONT BODY MOUNT</v>
          </cell>
          <cell r="C27" t="str">
            <v>palitos de carroceria delantero</v>
          </cell>
          <cell r="D27" t="str">
            <v>1</v>
          </cell>
          <cell r="E27">
            <v>20</v>
          </cell>
        </row>
        <row r="28">
          <cell r="A28" t="str">
            <v>2012-15</v>
          </cell>
          <cell r="B28" t="str">
            <v>PAN-HEAD SCREWS M4X12</v>
          </cell>
          <cell r="C28">
            <v>0</v>
          </cell>
          <cell r="D28" t="str">
            <v>8</v>
          </cell>
        </row>
        <row r="29">
          <cell r="A29" t="str">
            <v>2012-16</v>
          </cell>
          <cell r="B29" t="str">
            <v>CARBON FIBER FRONT MOUNTS PLATE</v>
          </cell>
          <cell r="C29" t="str">
            <v>carbono de union de cuadernas</v>
          </cell>
          <cell r="D29" t="str">
            <v>1</v>
          </cell>
          <cell r="E29">
            <v>30</v>
          </cell>
        </row>
        <row r="30">
          <cell r="A30" t="str">
            <v>2012-17</v>
          </cell>
          <cell r="B30" t="str">
            <v>FRONT SHOCK SUPPORT</v>
          </cell>
          <cell r="C30" t="str">
            <v xml:space="preserve">Torreta de amoriguadore delantera vieja </v>
          </cell>
          <cell r="D30" t="str">
            <v>1</v>
          </cell>
          <cell r="E30">
            <v>45</v>
          </cell>
        </row>
        <row r="31">
          <cell r="A31" t="str">
            <v>2012-18</v>
          </cell>
          <cell r="B31" t="str">
            <v>FRONT UPPER WISHBONE SHAFT</v>
          </cell>
          <cell r="C31" t="str">
            <v>eje de parrilla superior</v>
          </cell>
          <cell r="D31" t="str">
            <v>2</v>
          </cell>
          <cell r="E31">
            <v>40</v>
          </cell>
        </row>
        <row r="32">
          <cell r="A32" t="str">
            <v>2012-19</v>
          </cell>
          <cell r="B32" t="str">
            <v>SPACER CAMBER ADJUSTMENT  0.5 mm</v>
          </cell>
          <cell r="C32" t="str">
            <v>chapita 0.5</v>
          </cell>
          <cell r="D32" t="str">
            <v>4</v>
          </cell>
          <cell r="E32">
            <v>15</v>
          </cell>
        </row>
        <row r="33">
          <cell r="A33" t="str">
            <v>2012-20</v>
          </cell>
          <cell r="B33" t="str">
            <v>SPACER CAMBER ADJUSTMENT  1.0 mm</v>
          </cell>
          <cell r="C33" t="str">
            <v>chapita 1</v>
          </cell>
          <cell r="D33" t="str">
            <v>4</v>
          </cell>
          <cell r="E33">
            <v>15</v>
          </cell>
        </row>
        <row r="34">
          <cell r="A34" t="str">
            <v>2012-21</v>
          </cell>
          <cell r="B34" t="str">
            <v>SPACER CAMBER ADJUSTMENT  2.0 mm</v>
          </cell>
          <cell r="C34" t="str">
            <v>chapita 2</v>
          </cell>
          <cell r="D34" t="str">
            <v>4</v>
          </cell>
          <cell r="E34">
            <v>15</v>
          </cell>
        </row>
        <row r="35">
          <cell r="A35" t="str">
            <v>2012-22</v>
          </cell>
          <cell r="B35" t="str">
            <v>UPPER FRONT WISHBONE</v>
          </cell>
          <cell r="C35" t="str">
            <v>parrilla superior delantera</v>
          </cell>
          <cell r="D35" t="str">
            <v>1</v>
          </cell>
          <cell r="E35">
            <v>70</v>
          </cell>
        </row>
        <row r="36">
          <cell r="A36" t="str">
            <v>2012-23</v>
          </cell>
          <cell r="B36" t="str">
            <v>HEADLESS SCREW  M4X4</v>
          </cell>
          <cell r="C36">
            <v>0</v>
          </cell>
          <cell r="D36" t="str">
            <v>8</v>
          </cell>
          <cell r="E36">
            <v>35</v>
          </cell>
        </row>
        <row r="37">
          <cell r="A37" t="str">
            <v>2012-24</v>
          </cell>
          <cell r="B37" t="str">
            <v>COMPLETE PIVOT END WISHBONE</v>
          </cell>
          <cell r="C37" t="str">
            <v>rotula aluminio sin bola</v>
          </cell>
          <cell r="D37" t="str">
            <v>1</v>
          </cell>
          <cell r="E37">
            <v>30</v>
          </cell>
        </row>
        <row r="38">
          <cell r="A38" t="str">
            <v>2012-25</v>
          </cell>
          <cell r="B38" t="str">
            <v>PAN-HEAD SCREW M6X25 AND WASHER</v>
          </cell>
          <cell r="C38">
            <v>0</v>
          </cell>
          <cell r="D38" t="str">
            <v>4</v>
          </cell>
        </row>
        <row r="39">
          <cell r="A39" t="str">
            <v>2012-26</v>
          </cell>
          <cell r="B39" t="str">
            <v>SPACER CASTER ADJUSTMENT</v>
          </cell>
          <cell r="C39" t="str">
            <v>chapitas de avance- caster</v>
          </cell>
          <cell r="D39">
            <v>10</v>
          </cell>
          <cell r="E39">
            <v>12</v>
          </cell>
        </row>
        <row r="40">
          <cell r="A40" t="str">
            <v>2012-27</v>
          </cell>
          <cell r="B40" t="str">
            <v>FIXING UPRIGTH SPECIAL SCREW</v>
          </cell>
          <cell r="C40" t="str">
            <v>tornillo de masa</v>
          </cell>
          <cell r="D40" t="str">
            <v>2</v>
          </cell>
        </row>
        <row r="41">
          <cell r="A41" t="str">
            <v>2012-28</v>
          </cell>
          <cell r="B41" t="str">
            <v>STANDARD FRONT UPRIGTH</v>
          </cell>
          <cell r="C41" t="str">
            <v>masa VIEJA . parece la nueva pero no</v>
          </cell>
          <cell r="D41" t="str">
            <v>1</v>
          </cell>
          <cell r="E41">
            <v>40</v>
          </cell>
        </row>
        <row r="42">
          <cell r="A42" t="str">
            <v>2012-29</v>
          </cell>
          <cell r="B42" t="str">
            <v>STEERING LEVER  LH</v>
          </cell>
          <cell r="C42" t="str">
            <v>brazo de direccion izquierdo (ackermann)</v>
          </cell>
          <cell r="D42" t="str">
            <v>1</v>
          </cell>
          <cell r="E42">
            <v>30</v>
          </cell>
        </row>
        <row r="43">
          <cell r="A43" t="str">
            <v>2012-30</v>
          </cell>
          <cell r="B43" t="str">
            <v>STEERING LEVER  RH</v>
          </cell>
          <cell r="C43" t="str">
            <v>brazo de direccion derecho (ackermann)</v>
          </cell>
          <cell r="D43" t="str">
            <v>1</v>
          </cell>
          <cell r="E43">
            <v>30</v>
          </cell>
        </row>
        <row r="44">
          <cell r="A44" t="str">
            <v>2012-31</v>
          </cell>
          <cell r="B44" t="str">
            <v>SOCKET HEAD SCREWS M4X16</v>
          </cell>
          <cell r="C44">
            <v>0</v>
          </cell>
          <cell r="D44" t="str">
            <v>8</v>
          </cell>
        </row>
        <row r="45">
          <cell r="A45" t="str">
            <v>2012-32</v>
          </cell>
          <cell r="B45" t="str">
            <v>BEARING 8X19X6</v>
          </cell>
          <cell r="C45" t="str">
            <v xml:space="preserve">rodamiento </v>
          </cell>
          <cell r="D45" t="str">
            <v>1</v>
          </cell>
          <cell r="E45">
            <v>10</v>
          </cell>
        </row>
        <row r="46">
          <cell r="A46" t="str">
            <v>2012-34</v>
          </cell>
          <cell r="B46" t="str">
            <v>FRONT AXEL WHEELS</v>
          </cell>
          <cell r="C46" t="str">
            <v>eje de rueda</v>
          </cell>
          <cell r="D46" t="str">
            <v>1</v>
          </cell>
          <cell r="E46">
            <v>30</v>
          </cell>
        </row>
        <row r="47">
          <cell r="A47" t="str">
            <v>2012-35</v>
          </cell>
          <cell r="B47" t="str">
            <v>FIXING WHEEL NUT</v>
          </cell>
          <cell r="C47" t="str">
            <v>tuerca de rueda</v>
          </cell>
          <cell r="D47" t="str">
            <v>4</v>
          </cell>
        </row>
        <row r="48">
          <cell r="A48" t="str">
            <v>2012-36</v>
          </cell>
          <cell r="B48" t="str">
            <v>SQUARE WHEEL DRIVER 14 mm</v>
          </cell>
          <cell r="C48" t="str">
            <v>cubo de 14 mm</v>
          </cell>
          <cell r="D48" t="str">
            <v>2</v>
          </cell>
        </row>
        <row r="49">
          <cell r="A49" t="str">
            <v>2012-37</v>
          </cell>
          <cell r="B49" t="str">
            <v>SQUARE WHEEL DRIVER 12.5 mm</v>
          </cell>
          <cell r="C49" t="str">
            <v>cubo de 12.5 mm</v>
          </cell>
          <cell r="D49" t="str">
            <v>2</v>
          </cell>
        </row>
        <row r="50">
          <cell r="A50" t="str">
            <v>2012-39</v>
          </cell>
          <cell r="B50" t="str">
            <v>SCREW AND WASHER FIXING AXEL WHEELS</v>
          </cell>
          <cell r="C50">
            <v>0</v>
          </cell>
          <cell r="D50" t="str">
            <v>4</v>
          </cell>
        </row>
        <row r="51">
          <cell r="A51" t="str">
            <v>2012-40</v>
          </cell>
          <cell r="B51" t="str">
            <v>FRONT LOWER WISHBONE LH</v>
          </cell>
          <cell r="C51" t="str">
            <v>parrilla inferior delantera derecha</v>
          </cell>
          <cell r="D51" t="str">
            <v>1</v>
          </cell>
          <cell r="E51">
            <v>100</v>
          </cell>
        </row>
        <row r="52">
          <cell r="A52" t="str">
            <v>2012-41</v>
          </cell>
          <cell r="B52" t="str">
            <v>FRONT LOWER WISHBONE RH</v>
          </cell>
          <cell r="C52" t="str">
            <v>parrilla inferior delantera izquierda</v>
          </cell>
          <cell r="D52" t="str">
            <v>1</v>
          </cell>
          <cell r="E52">
            <v>100</v>
          </cell>
        </row>
        <row r="53">
          <cell r="A53" t="str">
            <v>2012-42</v>
          </cell>
          <cell r="B53" t="str">
            <v>SPHERICAL BEARING</v>
          </cell>
          <cell r="C53" t="str">
            <v>rodamiento esferico</v>
          </cell>
          <cell r="D53" t="str">
            <v>2</v>
          </cell>
          <cell r="E53">
            <v>25</v>
          </cell>
        </row>
        <row r="54">
          <cell r="A54" t="str">
            <v>2012-43</v>
          </cell>
          <cell r="B54" t="str">
            <v>FLANGED SCREW M3X6</v>
          </cell>
          <cell r="C54" t="str">
            <v>tornillos para rotulas que fijan bola</v>
          </cell>
          <cell r="D54" t="str">
            <v>4</v>
          </cell>
        </row>
        <row r="55">
          <cell r="A55" t="str">
            <v>2012-44</v>
          </cell>
          <cell r="B55" t="str">
            <v>SOKET HEAD SCREWS  M4X22</v>
          </cell>
          <cell r="C55">
            <v>0</v>
          </cell>
          <cell r="D55" t="str">
            <v>4</v>
          </cell>
        </row>
        <row r="56">
          <cell r="A56" t="str">
            <v>2012-45</v>
          </cell>
          <cell r="B56" t="str">
            <v>LOWER PIVOT ANTI-ROLL BAR SUPPORT</v>
          </cell>
          <cell r="C56" t="str">
            <v>soporte inferior barra estabilizadora (posiciones)</v>
          </cell>
          <cell r="D56" t="str">
            <v>1</v>
          </cell>
          <cell r="E56">
            <v>15</v>
          </cell>
        </row>
        <row r="57">
          <cell r="A57" t="str">
            <v>2012-46</v>
          </cell>
          <cell r="B57" t="str">
            <v>SOCKET HEAD SCREW M3X8</v>
          </cell>
          <cell r="C57">
            <v>0</v>
          </cell>
          <cell r="D57" t="str">
            <v>8</v>
          </cell>
        </row>
        <row r="58">
          <cell r="A58" t="str">
            <v>2012-47</v>
          </cell>
          <cell r="B58" t="str">
            <v>FRONT ANTI-ROLL BAR PLASTIC JOINT short</v>
          </cell>
          <cell r="C58" t="str">
            <v>rotula plastica de barra</v>
          </cell>
          <cell r="D58" t="str">
            <v>2</v>
          </cell>
          <cell r="E58">
            <v>10</v>
          </cell>
        </row>
        <row r="59">
          <cell r="A59" t="str">
            <v>2012-48</v>
          </cell>
          <cell r="B59" t="str">
            <v>LOWER ANTI-ROLL BAR PIVOT</v>
          </cell>
          <cell r="C59" t="str">
            <v>bola inferior de barra</v>
          </cell>
          <cell r="D59">
            <v>1</v>
          </cell>
          <cell r="E59">
            <v>15</v>
          </cell>
        </row>
        <row r="60">
          <cell r="A60" t="str">
            <v>2012-49</v>
          </cell>
          <cell r="B60" t="str">
            <v>COUNTERSUNK SCREWS M3X8</v>
          </cell>
          <cell r="C60" t="str">
            <v>tornillos</v>
          </cell>
          <cell r="D60" t="str">
            <v>8</v>
          </cell>
        </row>
        <row r="61">
          <cell r="A61" t="str">
            <v>2012-50</v>
          </cell>
          <cell r="B61" t="str">
            <v>ANTI-ROLL BAR ADJUSTING SCREW RH-LH</v>
          </cell>
          <cell r="C61" t="str">
            <v>derecha izquierda de barra</v>
          </cell>
          <cell r="D61" t="str">
            <v>1</v>
          </cell>
          <cell r="E61">
            <v>12</v>
          </cell>
        </row>
        <row r="62">
          <cell r="A62" t="str">
            <v>2012-51</v>
          </cell>
          <cell r="B62" t="str">
            <v>UPPER ANTI-ROLL BAR PIVOT DIAMETER  5.5</v>
          </cell>
          <cell r="C62" t="str">
            <v>bola para barra vieja . (para acoplar la rotula)</v>
          </cell>
          <cell r="D62" t="str">
            <v>1</v>
          </cell>
          <cell r="E62">
            <v>10</v>
          </cell>
        </row>
        <row r="63">
          <cell r="A63" t="str">
            <v>2012-52</v>
          </cell>
          <cell r="B63" t="str">
            <v>M4X16 SCREW FRONT DOWN STOP</v>
          </cell>
          <cell r="C63">
            <v>0</v>
          </cell>
          <cell r="D63" t="str">
            <v>6</v>
          </cell>
        </row>
        <row r="64">
          <cell r="A64" t="str">
            <v>2012-53</v>
          </cell>
          <cell r="B64" t="str">
            <v>NYLON  STOPPER FOR DOWN STOP</v>
          </cell>
          <cell r="C64" t="str">
            <v>plastico para parrilla de suspensión para que no se gire dont stop</v>
          </cell>
          <cell r="D64" t="str">
            <v>8</v>
          </cell>
          <cell r="E64">
            <v>15</v>
          </cell>
        </row>
        <row r="65">
          <cell r="A65" t="str">
            <v>2012-54</v>
          </cell>
          <cell r="B65" t="str">
            <v>LOWER WISHBONE SHAFT PIN</v>
          </cell>
          <cell r="C65" t="str">
            <v>pines</v>
          </cell>
          <cell r="D65" t="str">
            <v>2</v>
          </cell>
          <cell r="E65">
            <v>20</v>
          </cell>
        </row>
        <row r="66">
          <cell r="A66" t="str">
            <v>2012-55</v>
          </cell>
          <cell r="B66" t="str">
            <v>FRONT ANTI-ROLL BAR DIAMETER 5.5</v>
          </cell>
          <cell r="C66" t="str">
            <v>barra delantera vieja de 5.5mm</v>
          </cell>
          <cell r="D66" t="str">
            <v>1</v>
          </cell>
        </row>
        <row r="67">
          <cell r="A67" t="str">
            <v>2012-56</v>
          </cell>
          <cell r="B67" t="str">
            <v>BAR BARELL DIAM. 5.5</v>
          </cell>
          <cell r="C67" t="str">
            <v>"ruleman" de la barra vieja</v>
          </cell>
          <cell r="D67" t="str">
            <v>1</v>
          </cell>
        </row>
        <row r="68">
          <cell r="A68" t="str">
            <v>2012-57</v>
          </cell>
          <cell r="B68" t="str">
            <v>HEADLESS SCREW M3X3</v>
          </cell>
          <cell r="C68">
            <v>0</v>
          </cell>
          <cell r="D68" t="str">
            <v>8</v>
          </cell>
        </row>
        <row r="69">
          <cell r="A69" t="str">
            <v>2012-58</v>
          </cell>
          <cell r="B69" t="str">
            <v>FLANGED BEARING FOR ANTI-ROLL BAR</v>
          </cell>
          <cell r="C69" t="str">
            <v xml:space="preserve">rodamiendo barra </v>
          </cell>
          <cell r="D69" t="str">
            <v>1</v>
          </cell>
          <cell r="E69">
            <v>10</v>
          </cell>
        </row>
        <row r="70">
          <cell r="A70" t="str">
            <v>2012-59</v>
          </cell>
          <cell r="B70" t="str">
            <v>FRONT AXLE MOUNT LH</v>
          </cell>
          <cell r="C70" t="str">
            <v>cuaderna delantera izquierda</v>
          </cell>
          <cell r="D70" t="str">
            <v>1</v>
          </cell>
          <cell r="E70">
            <v>85</v>
          </cell>
        </row>
        <row r="71">
          <cell r="A71" t="str">
            <v>2012-60</v>
          </cell>
          <cell r="B71" t="str">
            <v>FRONT AXLE MOUNT RH</v>
          </cell>
          <cell r="C71" t="str">
            <v>cuaderna delanter derecha</v>
          </cell>
          <cell r="D71" t="str">
            <v>1</v>
          </cell>
          <cell r="E71">
            <v>85</v>
          </cell>
        </row>
        <row r="72">
          <cell r="A72" t="str">
            <v>2012-61</v>
          </cell>
          <cell r="B72" t="str">
            <v>WISHBONES PLASTIC BUSH</v>
          </cell>
          <cell r="C72" t="str">
            <v>bujes de parrilla</v>
          </cell>
          <cell r="D72" t="str">
            <v>8</v>
          </cell>
          <cell r="E72">
            <v>15</v>
          </cell>
        </row>
        <row r="73">
          <cell r="A73" t="str">
            <v>2012-62</v>
          </cell>
          <cell r="B73" t="str">
            <v>PAN HEAD SCREWS M4X8</v>
          </cell>
          <cell r="C73">
            <v>0</v>
          </cell>
          <cell r="D73" t="str">
            <v>8</v>
          </cell>
        </row>
        <row r="74">
          <cell r="A74" t="str">
            <v>2012-63</v>
          </cell>
          <cell r="B74" t="str">
            <v>STEERING ROD MM88</v>
          </cell>
          <cell r="C74" t="str">
            <v>der/izq de brazo de direccion corto</v>
          </cell>
          <cell r="D74" t="str">
            <v>1</v>
          </cell>
          <cell r="E74">
            <v>20</v>
          </cell>
        </row>
        <row r="75">
          <cell r="A75" t="str">
            <v>2012-64</v>
          </cell>
          <cell r="B75" t="str">
            <v>STEERING ROD MM94</v>
          </cell>
          <cell r="C75" t="str">
            <v>der/izq de brazo de direccion largo</v>
          </cell>
          <cell r="D75" t="str">
            <v>1</v>
          </cell>
          <cell r="E75">
            <v>20</v>
          </cell>
        </row>
        <row r="76">
          <cell r="A76" t="str">
            <v>2012-65</v>
          </cell>
          <cell r="B76" t="str">
            <v>STEERING AND REAR ANTI-ROLL BAR PLASTIC JOINT LONG</v>
          </cell>
          <cell r="C76" t="str">
            <v>rotula plastica de barra trasera y brazo de direccion</v>
          </cell>
          <cell r="D76">
            <v>2</v>
          </cell>
          <cell r="E76">
            <v>15</v>
          </cell>
        </row>
        <row r="77">
          <cell r="A77" t="str">
            <v>2012-66</v>
          </cell>
          <cell r="B77" t="str">
            <v>STEERING PIVOT  HOLE DIAM. 4</v>
          </cell>
          <cell r="C77" t="str">
            <v>bola de rotula para brazo de direccion</v>
          </cell>
          <cell r="D77" t="str">
            <v>1</v>
          </cell>
          <cell r="E77">
            <v>12</v>
          </cell>
        </row>
        <row r="78">
          <cell r="A78" t="str">
            <v>2012-67</v>
          </cell>
          <cell r="B78" t="str">
            <v>PIVOT STEERING SPACER</v>
          </cell>
          <cell r="C78" t="str">
            <v>separador de brazo de direccion</v>
          </cell>
          <cell r="D78" t="str">
            <v>8</v>
          </cell>
          <cell r="E78">
            <v>25</v>
          </cell>
        </row>
        <row r="79">
          <cell r="A79" t="str">
            <v>2012-68</v>
          </cell>
          <cell r="B79" t="str">
            <v>SERVO SAVER SHAFT</v>
          </cell>
          <cell r="C79">
            <v>0</v>
          </cell>
          <cell r="D79" t="str">
            <v>1</v>
          </cell>
          <cell r="E79">
            <v>20</v>
          </cell>
        </row>
        <row r="80">
          <cell r="A80" t="str">
            <v>2012-69</v>
          </cell>
          <cell r="B80" t="str">
            <v>SERVO SAVER  BUSH</v>
          </cell>
          <cell r="C80">
            <v>0</v>
          </cell>
          <cell r="D80">
            <v>1</v>
          </cell>
          <cell r="E80">
            <v>20</v>
          </cell>
        </row>
        <row r="81">
          <cell r="A81" t="str">
            <v>2012-70</v>
          </cell>
          <cell r="B81" t="str">
            <v>SERVO SAVER ADJUSTEMENT NUT</v>
          </cell>
          <cell r="C81" t="str">
            <v>tuerca de ajuste del salva servo</v>
          </cell>
          <cell r="D81" t="str">
            <v>1</v>
          </cell>
          <cell r="E81">
            <v>12</v>
          </cell>
        </row>
        <row r="82">
          <cell r="A82" t="str">
            <v>2012-71</v>
          </cell>
          <cell r="B82" t="str">
            <v>SERVO SAVER BELL SPRING  0.5 mm</v>
          </cell>
          <cell r="C82" t="str">
            <v>chapa de salvaservo viejo</v>
          </cell>
          <cell r="D82" t="str">
            <v>10</v>
          </cell>
          <cell r="E82">
            <v>25</v>
          </cell>
        </row>
        <row r="83">
          <cell r="A83" t="str">
            <v>2012-72</v>
          </cell>
          <cell r="B83" t="str">
            <v>SERVO SAVER BELL SPRING 0.8 mm</v>
          </cell>
          <cell r="C83" t="str">
            <v>chapa de salvaservo viejo</v>
          </cell>
          <cell r="D83" t="str">
            <v>10</v>
          </cell>
          <cell r="E83">
            <v>25</v>
          </cell>
        </row>
        <row r="84">
          <cell r="A84" t="str">
            <v>2012-73</v>
          </cell>
          <cell r="B84" t="str">
            <v>SERVO SAVER LOWER BODY</v>
          </cell>
          <cell r="C84" t="str">
            <v>cuerpo inferior salvaservo viejo</v>
          </cell>
          <cell r="D84" t="str">
            <v>1</v>
          </cell>
          <cell r="E84">
            <v>25</v>
          </cell>
        </row>
        <row r="85">
          <cell r="A85" t="str">
            <v>2012-74</v>
          </cell>
          <cell r="B85" t="str">
            <v>SERVO SAVER UPPER BODY</v>
          </cell>
          <cell r="C85" t="str">
            <v>cuerpo superior salva servo</v>
          </cell>
          <cell r="D85" t="str">
            <v>1</v>
          </cell>
          <cell r="E85">
            <v>20</v>
          </cell>
        </row>
        <row r="86">
          <cell r="A86" t="str">
            <v>2012-75</v>
          </cell>
          <cell r="B86" t="str">
            <v>RETAINING RING SERVO SAVER</v>
          </cell>
          <cell r="C86">
            <v>0</v>
          </cell>
          <cell r="D86">
            <v>3</v>
          </cell>
          <cell r="E86">
            <v>10</v>
          </cell>
        </row>
        <row r="87">
          <cell r="A87" t="str">
            <v>2012-76</v>
          </cell>
          <cell r="B87" t="str">
            <v>COUNTERSUNK SCREW M4X12</v>
          </cell>
          <cell r="C87">
            <v>0</v>
          </cell>
          <cell r="D87" t="str">
            <v>8</v>
          </cell>
        </row>
        <row r="88">
          <cell r="A88" t="str">
            <v>2012-77</v>
          </cell>
          <cell r="B88" t="str">
            <v>RADIO PLATE CONNECTION TRIANGLE</v>
          </cell>
          <cell r="C88" t="str">
            <v>triangulo de coneccion del salvaservo viejo</v>
          </cell>
          <cell r="D88" t="str">
            <v>1</v>
          </cell>
        </row>
        <row r="89">
          <cell r="A89" t="str">
            <v>2012-78</v>
          </cell>
          <cell r="B89" t="str">
            <v>PAN-HEAD SCREW M3X6</v>
          </cell>
          <cell r="C89">
            <v>0</v>
          </cell>
          <cell r="D89" t="str">
            <v>4</v>
          </cell>
        </row>
        <row r="90">
          <cell r="A90" t="str">
            <v>2012-79</v>
          </cell>
          <cell r="B90" t="str">
            <v>RADIO PLATE SPACER COLUMN</v>
          </cell>
          <cell r="C90" t="str">
            <v>columnas de radiotrain</v>
          </cell>
          <cell r="D90" t="str">
            <v>1</v>
          </cell>
          <cell r="E90">
            <v>20</v>
          </cell>
        </row>
        <row r="91">
          <cell r="A91" t="str">
            <v>2012-80</v>
          </cell>
          <cell r="B91" t="str">
            <v>RADIO PLATE BIG SERVO</v>
          </cell>
          <cell r="C91" t="str">
            <v>radio train para servo grande</v>
          </cell>
          <cell r="D91" t="str">
            <v>1</v>
          </cell>
          <cell r="E91">
            <v>40</v>
          </cell>
        </row>
        <row r="92">
          <cell r="A92" t="str">
            <v>2012-81</v>
          </cell>
          <cell r="B92" t="str">
            <v>RADIO PLATE MEDIUM SERVO</v>
          </cell>
          <cell r="C92">
            <v>0</v>
          </cell>
          <cell r="D92" t="str">
            <v>1</v>
          </cell>
          <cell r="E92">
            <v>40</v>
          </cell>
        </row>
        <row r="93">
          <cell r="A93" t="str">
            <v>2012-82</v>
          </cell>
          <cell r="B93" t="str">
            <v>PAN-HEAD SCREW M4X10</v>
          </cell>
          <cell r="C93">
            <v>0</v>
          </cell>
          <cell r="D93" t="str">
            <v>8</v>
          </cell>
        </row>
        <row r="94">
          <cell r="A94" t="str">
            <v>2012-83</v>
          </cell>
          <cell r="B94" t="str">
            <v>RECEIVER BOX</v>
          </cell>
          <cell r="C94" t="str">
            <v>caja de receptor</v>
          </cell>
          <cell r="D94" t="str">
            <v>1</v>
          </cell>
          <cell r="E94">
            <v>100</v>
          </cell>
        </row>
        <row r="95">
          <cell r="A95" t="str">
            <v>2012-84</v>
          </cell>
          <cell r="B95" t="str">
            <v>COMPLETE FUEL TANK 700 cc</v>
          </cell>
          <cell r="C95" t="str">
            <v>tanque de combustible</v>
          </cell>
          <cell r="D95" t="str">
            <v>1</v>
          </cell>
          <cell r="E95">
            <v>350</v>
          </cell>
        </row>
        <row r="96">
          <cell r="A96" t="str">
            <v>2012-85</v>
          </cell>
          <cell r="B96" t="str">
            <v>ALUMINIUM SIDE REINFORCING CHASSIS</v>
          </cell>
          <cell r="C96" t="str">
            <v>laterales de chasis</v>
          </cell>
          <cell r="D96" t="str">
            <v>1</v>
          </cell>
          <cell r="E96">
            <v>80</v>
          </cell>
        </row>
        <row r="97">
          <cell r="A97" t="str">
            <v>2012-86</v>
          </cell>
          <cell r="B97" t="str">
            <v>PLASTIC SIDE BODY MOUNT LONG</v>
          </cell>
          <cell r="C97" t="str">
            <v>palito de carriceria lateral largo</v>
          </cell>
          <cell r="D97" t="str">
            <v>1</v>
          </cell>
          <cell r="E97">
            <v>30</v>
          </cell>
        </row>
        <row r="98">
          <cell r="A98" t="str">
            <v>2012-87</v>
          </cell>
          <cell r="B98" t="str">
            <v>PLASTIC SIDE BODY MOUNT SHORT</v>
          </cell>
          <cell r="C98" t="str">
            <v>palito de carriceria lateral corto</v>
          </cell>
          <cell r="D98" t="str">
            <v>1</v>
          </cell>
          <cell r="E98">
            <v>30</v>
          </cell>
        </row>
        <row r="99">
          <cell r="A99" t="str">
            <v>2012-88</v>
          </cell>
          <cell r="B99" t="str">
            <v>CARBON FIBER SIDE GUARDS</v>
          </cell>
          <cell r="C99" t="str">
            <v>carbono lateral para carroceria</v>
          </cell>
          <cell r="D99" t="str">
            <v>1</v>
          </cell>
          <cell r="E99">
            <v>35</v>
          </cell>
        </row>
        <row r="100">
          <cell r="A100" t="str">
            <v>2012-89</v>
          </cell>
          <cell r="B100" t="str">
            <v>COUNTERSUNK SCREW M4X25</v>
          </cell>
          <cell r="C100">
            <v>0</v>
          </cell>
          <cell r="D100">
            <v>8</v>
          </cell>
        </row>
        <row r="101">
          <cell r="A101" t="str">
            <v>2012-90</v>
          </cell>
          <cell r="B101" t="str">
            <v>COUNTERSUNK SCREW  M4X16</v>
          </cell>
          <cell r="C101">
            <v>0</v>
          </cell>
          <cell r="D101" t="str">
            <v>8</v>
          </cell>
        </row>
        <row r="102">
          <cell r="A102" t="str">
            <v>2012-91</v>
          </cell>
          <cell r="B102" t="str">
            <v>STANDARD CHASSIS PLATE 530</v>
          </cell>
          <cell r="C102" t="str">
            <v>placa para auto CORTO</v>
          </cell>
          <cell r="D102" t="str">
            <v>1</v>
          </cell>
        </row>
        <row r="103">
          <cell r="A103" t="str">
            <v>2012-92</v>
          </cell>
          <cell r="B103" t="str">
            <v>OUTER FLANGE CLUTCH SHAFT SUPPORT</v>
          </cell>
          <cell r="C103" t="str">
            <v>Triangulo (tapa) del embrague</v>
          </cell>
          <cell r="D103" t="str">
            <v>1</v>
          </cell>
          <cell r="E103">
            <v>35</v>
          </cell>
        </row>
        <row r="104">
          <cell r="A104" t="str">
            <v>2012-93</v>
          </cell>
          <cell r="B104" t="str">
            <v>BEARING 10X19X5</v>
          </cell>
          <cell r="C104" t="str">
            <v>Ruleman campana</v>
          </cell>
          <cell r="D104" t="str">
            <v>1</v>
          </cell>
          <cell r="E104">
            <v>10</v>
          </cell>
        </row>
        <row r="105">
          <cell r="A105" t="str">
            <v>2012-94</v>
          </cell>
          <cell r="B105" t="str">
            <v>CLUTCH SUPPORT SPACER COLUMN</v>
          </cell>
          <cell r="C105" t="str">
            <v>columna que va en acople de motor</v>
          </cell>
          <cell r="D105" t="str">
            <v>1</v>
          </cell>
          <cell r="E105">
            <v>25</v>
          </cell>
        </row>
        <row r="106">
          <cell r="A106" t="str">
            <v>2012-95</v>
          </cell>
          <cell r="B106" t="str">
            <v>CLUTCH SHAFT</v>
          </cell>
          <cell r="C106" t="str">
            <v>tornillo de embrague</v>
          </cell>
          <cell r="D106" t="str">
            <v>1</v>
          </cell>
          <cell r="E106">
            <v>40</v>
          </cell>
        </row>
        <row r="107">
          <cell r="A107" t="str">
            <v>2012-96</v>
          </cell>
          <cell r="B107" t="str">
            <v>PINION RETAINING RING</v>
          </cell>
          <cell r="C107" t="str">
            <v>ceger de piñon</v>
          </cell>
          <cell r="D107" t="str">
            <v>1</v>
          </cell>
        </row>
        <row r="108">
          <cell r="A108" t="str">
            <v>2012-97</v>
          </cell>
          <cell r="B108" t="str">
            <v>CLUTCH PINION Z 36</v>
          </cell>
          <cell r="C108" t="str">
            <v xml:space="preserve">piñon 36 </v>
          </cell>
          <cell r="D108" t="str">
            <v>1</v>
          </cell>
          <cell r="E108">
            <v>50</v>
          </cell>
        </row>
        <row r="109">
          <cell r="A109" t="str">
            <v>2012-98</v>
          </cell>
          <cell r="B109" t="str">
            <v>CLUTCH PINION Z 37</v>
          </cell>
          <cell r="C109" t="str">
            <v>piñon 37</v>
          </cell>
          <cell r="D109" t="str">
            <v>1</v>
          </cell>
          <cell r="E109">
            <v>50</v>
          </cell>
        </row>
        <row r="110">
          <cell r="A110" t="str">
            <v>2012-99</v>
          </cell>
          <cell r="B110" t="str">
            <v>CLUTCH PINION Z 35</v>
          </cell>
          <cell r="C110" t="str">
            <v>piñon 35</v>
          </cell>
          <cell r="D110" t="str">
            <v>1</v>
          </cell>
          <cell r="E110">
            <v>50</v>
          </cell>
        </row>
        <row r="111">
          <cell r="A111" t="str">
            <v>2012-100</v>
          </cell>
          <cell r="B111" t="str">
            <v>RETAINING RING FOR BELL CLUTCH</v>
          </cell>
          <cell r="C111" t="str">
            <v>ceger de tornillo de embrague</v>
          </cell>
          <cell r="D111" t="str">
            <v>4</v>
          </cell>
          <cell r="E111">
            <v>15</v>
          </cell>
        </row>
        <row r="112">
          <cell r="A112" t="str">
            <v>2012-101</v>
          </cell>
          <cell r="B112" t="str">
            <v>BELL CLUTCH</v>
          </cell>
          <cell r="C112" t="str">
            <v>campana</v>
          </cell>
          <cell r="D112" t="str">
            <v>1</v>
          </cell>
          <cell r="E112">
            <v>105</v>
          </cell>
        </row>
        <row r="113">
          <cell r="A113" t="str">
            <v>2012-102</v>
          </cell>
          <cell r="B113" t="str">
            <v>HEADLESS SCREW FOR CLUTCH FITTING</v>
          </cell>
          <cell r="C113" t="str">
            <v>prisionero de tornillo de embrague</v>
          </cell>
          <cell r="D113" t="str">
            <v>2</v>
          </cell>
        </row>
        <row r="114">
          <cell r="A114" t="str">
            <v>2012-103</v>
          </cell>
          <cell r="B114" t="str">
            <v>ENGINE MOUNTING SUPPORT</v>
          </cell>
          <cell r="C114" t="str">
            <v>acople de motor sin columnas</v>
          </cell>
          <cell r="D114" t="str">
            <v>1</v>
          </cell>
          <cell r="E114">
            <v>80</v>
          </cell>
        </row>
        <row r="115">
          <cell r="A115" t="str">
            <v>2012-104</v>
          </cell>
          <cell r="B115" t="str">
            <v>PAN-HEAD SCREW M5X12</v>
          </cell>
          <cell r="C115" t="str">
            <v>tornillos de acople de motor</v>
          </cell>
          <cell r="D115" t="str">
            <v>8</v>
          </cell>
        </row>
        <row r="116">
          <cell r="A116" t="str">
            <v>2012-105</v>
          </cell>
          <cell r="B116" t="str">
            <v>COUNTERSUNK SCREW M5X12</v>
          </cell>
          <cell r="C116">
            <v>0</v>
          </cell>
          <cell r="D116" t="str">
            <v>8</v>
          </cell>
        </row>
        <row r="117">
          <cell r="A117" t="str">
            <v>2012-106</v>
          </cell>
          <cell r="B117" t="str">
            <v>SPECIAL WASHER FOR ENGINE FASTENING</v>
          </cell>
          <cell r="C117" t="str">
            <v>arandera de motor ( abajo)</v>
          </cell>
          <cell r="D117" t="str">
            <v>4</v>
          </cell>
          <cell r="E117">
            <v>15</v>
          </cell>
        </row>
        <row r="118">
          <cell r="A118" t="str">
            <v>2012-107</v>
          </cell>
          <cell r="B118" t="str">
            <v>GEARWELL RETAINIG RING</v>
          </cell>
          <cell r="C118" t="str">
            <v>ceger de corona</v>
          </cell>
          <cell r="D118" t="str">
            <v>4</v>
          </cell>
        </row>
        <row r="119">
          <cell r="A119" t="str">
            <v>2012-108</v>
          </cell>
          <cell r="B119" t="str">
            <v>GEARWELL  Z 64</v>
          </cell>
          <cell r="C119" t="str">
            <v>corona</v>
          </cell>
          <cell r="D119" t="str">
            <v>1</v>
          </cell>
          <cell r="E119">
            <v>80</v>
          </cell>
        </row>
        <row r="120">
          <cell r="A120" t="str">
            <v>2012-109</v>
          </cell>
          <cell r="B120" t="str">
            <v>SECOND SHAFT</v>
          </cell>
          <cell r="C120" t="str">
            <v>eje medio</v>
          </cell>
          <cell r="D120">
            <v>1</v>
          </cell>
          <cell r="E120">
            <v>50</v>
          </cell>
        </row>
        <row r="121">
          <cell r="A121" t="str">
            <v>2012-110</v>
          </cell>
          <cell r="B121" t="str">
            <v>SECOND SHAFT BEARING</v>
          </cell>
          <cell r="C121" t="str">
            <v>rodamiento eje medio</v>
          </cell>
          <cell r="D121" t="str">
            <v>1</v>
          </cell>
          <cell r="E121">
            <v>10</v>
          </cell>
        </row>
        <row r="122">
          <cell r="A122" t="str">
            <v>2012-111</v>
          </cell>
          <cell r="B122" t="str">
            <v>SECOND SHAFT SUPPORT FLANGE</v>
          </cell>
          <cell r="C122" t="str">
            <v xml:space="preserve">pieza donde van rodamientos de eje medio </v>
          </cell>
          <cell r="D122" t="str">
            <v>1</v>
          </cell>
          <cell r="E122">
            <v>30</v>
          </cell>
        </row>
        <row r="123">
          <cell r="A123" t="str">
            <v>2012-112</v>
          </cell>
          <cell r="B123" t="str">
            <v>SECOND SHAFT PINION  Z 24</v>
          </cell>
          <cell r="C123" t="str">
            <v>piñon eje medio 24</v>
          </cell>
          <cell r="D123" t="str">
            <v>1</v>
          </cell>
          <cell r="E123">
            <v>40</v>
          </cell>
        </row>
        <row r="124">
          <cell r="A124" t="str">
            <v>2012-113</v>
          </cell>
          <cell r="B124" t="str">
            <v>REAR AXLE MOUNT LH</v>
          </cell>
          <cell r="C124" t="str">
            <v>bancada trasera izquierda</v>
          </cell>
          <cell r="D124" t="str">
            <v>1</v>
          </cell>
          <cell r="E124">
            <v>100</v>
          </cell>
        </row>
        <row r="125">
          <cell r="A125" t="str">
            <v>2012-114</v>
          </cell>
          <cell r="B125" t="str">
            <v>DIFFERENTIAL BEARING SUPPORT</v>
          </cell>
          <cell r="C125" t="str">
            <v>soporte de rodamientos de diff</v>
          </cell>
          <cell r="D125" t="str">
            <v>1</v>
          </cell>
          <cell r="E125">
            <v>40</v>
          </cell>
        </row>
        <row r="126">
          <cell r="A126" t="str">
            <v>2012-115</v>
          </cell>
          <cell r="B126" t="str">
            <v>REAR UPPER WHISBONE SHAFT</v>
          </cell>
          <cell r="C126" t="str">
            <v>eje de parrilla superior trasera</v>
          </cell>
          <cell r="D126" t="str">
            <v>2</v>
          </cell>
          <cell r="E126">
            <v>30</v>
          </cell>
        </row>
        <row r="127">
          <cell r="A127" t="str">
            <v>2012-116</v>
          </cell>
          <cell r="B127" t="str">
            <v>REAR UPPER WHISBONE</v>
          </cell>
          <cell r="C127" t="str">
            <v>parrilla trasera superior</v>
          </cell>
          <cell r="D127" t="str">
            <v>1</v>
          </cell>
          <cell r="E127">
            <v>40</v>
          </cell>
        </row>
        <row r="128">
          <cell r="A128" t="str">
            <v>2012-117</v>
          </cell>
          <cell r="B128" t="str">
            <v>REAR UPRIGHT  LH</v>
          </cell>
          <cell r="C128" t="str">
            <v>masa trasera izquierda</v>
          </cell>
          <cell r="D128" t="str">
            <v>1</v>
          </cell>
          <cell r="E128">
            <v>50</v>
          </cell>
        </row>
        <row r="129">
          <cell r="A129" t="str">
            <v>2012-118</v>
          </cell>
          <cell r="B129" t="str">
            <v>REAR UPRIGHT  RH</v>
          </cell>
          <cell r="C129" t="str">
            <v>masa trasera derecha</v>
          </cell>
          <cell r="D129" t="str">
            <v>1</v>
          </cell>
          <cell r="E129">
            <v>50</v>
          </cell>
        </row>
        <row r="130">
          <cell r="A130" t="str">
            <v>2012-120</v>
          </cell>
          <cell r="B130" t="str">
            <v>REAR UPRIGHT BEARINGS SPACER</v>
          </cell>
          <cell r="C130" t="str">
            <v xml:space="preserve">espaciador de rodamientos de masa </v>
          </cell>
          <cell r="D130" t="str">
            <v>2</v>
          </cell>
          <cell r="E130">
            <v>20</v>
          </cell>
        </row>
        <row r="131">
          <cell r="A131" t="str">
            <v>2012-121</v>
          </cell>
          <cell r="B131" t="str">
            <v>REAR WHEEL DRIVER SQUARE 11.5 mm</v>
          </cell>
          <cell r="C131" t="str">
            <v>cubos de 11.5 traseros</v>
          </cell>
          <cell r="D131" t="str">
            <v>1</v>
          </cell>
          <cell r="E131">
            <v>25</v>
          </cell>
        </row>
        <row r="132">
          <cell r="A132" t="str">
            <v>2012-122</v>
          </cell>
          <cell r="B132" t="str">
            <v>REAR WHEEL HUB</v>
          </cell>
          <cell r="C132" t="str">
            <v>eje de rueda trasero</v>
          </cell>
          <cell r="D132" t="str">
            <v>1</v>
          </cell>
          <cell r="E132">
            <v>50</v>
          </cell>
        </row>
        <row r="133">
          <cell r="A133" t="str">
            <v>2012-123</v>
          </cell>
          <cell r="B133" t="str">
            <v>REAR TOE IN PLASTIC BUSH 1° - 3°</v>
          </cell>
          <cell r="C133" t="str">
            <v xml:space="preserve">alinear de 1-3 </v>
          </cell>
          <cell r="D133" t="str">
            <v>4</v>
          </cell>
          <cell r="E133">
            <v>15</v>
          </cell>
        </row>
        <row r="134">
          <cell r="A134" t="str">
            <v>2012-124</v>
          </cell>
          <cell r="B134" t="str">
            <v>REAR TOE IN PLASTIC BUSH 1.5° - 2.5°</v>
          </cell>
          <cell r="C134" t="str">
            <v>alinear de 1.5 - 2.5</v>
          </cell>
          <cell r="D134" t="str">
            <v>4</v>
          </cell>
          <cell r="E134">
            <v>15</v>
          </cell>
        </row>
        <row r="135">
          <cell r="A135" t="str">
            <v>2012-125</v>
          </cell>
          <cell r="B135" t="str">
            <v>REAR TOE IN PLASTIC BUSH 2°</v>
          </cell>
          <cell r="C135" t="str">
            <v>alinear 2</v>
          </cell>
          <cell r="D135" t="str">
            <v>4</v>
          </cell>
          <cell r="E135">
            <v>15</v>
          </cell>
        </row>
        <row r="136">
          <cell r="A136" t="str">
            <v>2012-126</v>
          </cell>
          <cell r="B136" t="str">
            <v>REAR TOE IN PLASTIC BUSH 3.5° - 0.5°</v>
          </cell>
          <cell r="C136" t="str">
            <v>alinear 3.5 - 0.5</v>
          </cell>
          <cell r="D136" t="str">
            <v>4</v>
          </cell>
          <cell r="E136">
            <v>15</v>
          </cell>
        </row>
        <row r="137">
          <cell r="A137" t="str">
            <v>2012-127</v>
          </cell>
          <cell r="B137" t="str">
            <v>REAR TOE IN PLASTIC BUSH 4.5°</v>
          </cell>
          <cell r="C137" t="str">
            <v>alinear 4.5</v>
          </cell>
          <cell r="D137" t="str">
            <v>4</v>
          </cell>
          <cell r="E137">
            <v>15</v>
          </cell>
        </row>
        <row r="138">
          <cell r="A138" t="str">
            <v>2012-128</v>
          </cell>
          <cell r="B138" t="str">
            <v>REAR TOE IN PLASTIC BUSH 4°</v>
          </cell>
          <cell r="C138" t="str">
            <v>alinear 4</v>
          </cell>
          <cell r="D138" t="str">
            <v>4</v>
          </cell>
          <cell r="E138">
            <v>15</v>
          </cell>
        </row>
        <row r="139">
          <cell r="A139" t="str">
            <v>2012-129</v>
          </cell>
          <cell r="B139" t="str">
            <v>REAR LOWER UPRIGHT SHAFT</v>
          </cell>
          <cell r="C139" t="str">
            <v>eje de parrilla trasera inferior</v>
          </cell>
          <cell r="D139" t="str">
            <v>2</v>
          </cell>
          <cell r="E139">
            <v>30</v>
          </cell>
        </row>
        <row r="140">
          <cell r="A140" t="str">
            <v>2012-130</v>
          </cell>
          <cell r="B140" t="str">
            <v>REAR LOWER WISHBONE LH</v>
          </cell>
          <cell r="C140" t="str">
            <v>parrilla trasera inferior izquierda</v>
          </cell>
          <cell r="D140" t="str">
            <v>1</v>
          </cell>
          <cell r="E140">
            <v>100</v>
          </cell>
        </row>
        <row r="141">
          <cell r="A141" t="str">
            <v>2012-131</v>
          </cell>
          <cell r="B141" t="str">
            <v>REAR LOWER WISHBONE RH</v>
          </cell>
          <cell r="C141" t="str">
            <v>parrilla trasera inferior derecha</v>
          </cell>
          <cell r="D141">
            <v>1</v>
          </cell>
          <cell r="E141">
            <v>100</v>
          </cell>
        </row>
        <row r="142">
          <cell r="A142" t="str">
            <v>2012-132</v>
          </cell>
          <cell r="B142" t="str">
            <v>DRIVE SHAFT</v>
          </cell>
          <cell r="C142" t="str">
            <v>palier</v>
          </cell>
          <cell r="D142" t="str">
            <v>1</v>
          </cell>
          <cell r="E142">
            <v>55</v>
          </cell>
        </row>
        <row r="143">
          <cell r="A143" t="str">
            <v>2012-133</v>
          </cell>
          <cell r="B143" t="str">
            <v>BALLS FOR DRIVE SHAFT</v>
          </cell>
          <cell r="C143" t="str">
            <v>bolas de palier</v>
          </cell>
          <cell r="D143" t="str">
            <v>6</v>
          </cell>
          <cell r="E143">
            <v>15</v>
          </cell>
        </row>
        <row r="144">
          <cell r="A144" t="str">
            <v>2012-134</v>
          </cell>
          <cell r="B144" t="str">
            <v>REAR LOWER MOUNT SHOCK FORK</v>
          </cell>
          <cell r="C144" t="str">
            <v>posicion de amortiguador trasera 4 agujeros</v>
          </cell>
          <cell r="D144" t="str">
            <v>1</v>
          </cell>
          <cell r="E144">
            <v>20</v>
          </cell>
        </row>
        <row r="145">
          <cell r="A145" t="str">
            <v>2012-135</v>
          </cell>
          <cell r="B145" t="str">
            <v>ANTI-ROLL BAR UPPER PIVOT DIAM. 5 mm</v>
          </cell>
          <cell r="C145">
            <v>0</v>
          </cell>
          <cell r="D145" t="str">
            <v>1</v>
          </cell>
        </row>
        <row r="146">
          <cell r="A146" t="str">
            <v>2012-136</v>
          </cell>
          <cell r="B146" t="str">
            <v>ANTI-ROLL BAR BARREL DIAM.  5 mm</v>
          </cell>
          <cell r="C146">
            <v>0</v>
          </cell>
          <cell r="D146" t="str">
            <v>1</v>
          </cell>
        </row>
        <row r="147">
          <cell r="A147" t="str">
            <v>2012-137</v>
          </cell>
          <cell r="B147" t="str">
            <v>REAR ANTI-ROLL BAR DIAM. 5 mm</v>
          </cell>
          <cell r="C147" t="str">
            <v>"rodamiento" barra vieja</v>
          </cell>
          <cell r="D147" t="str">
            <v>1</v>
          </cell>
        </row>
        <row r="148">
          <cell r="A148" t="str">
            <v>2012-138</v>
          </cell>
          <cell r="B148" t="str">
            <v>M4X20 SCREW REAR DOWN STOP</v>
          </cell>
          <cell r="C148">
            <v>0</v>
          </cell>
          <cell r="D148" t="str">
            <v>6</v>
          </cell>
        </row>
        <row r="149">
          <cell r="A149" t="str">
            <v>2012-139</v>
          </cell>
          <cell r="B149" t="str">
            <v>REAR UPPER SHOCK MOUNT</v>
          </cell>
          <cell r="C149" t="str">
            <v>torreta de amortiguadores trasera</v>
          </cell>
          <cell r="D149" t="str">
            <v>1</v>
          </cell>
          <cell r="E149">
            <v>75</v>
          </cell>
        </row>
        <row r="150">
          <cell r="A150" t="str">
            <v>2012-140</v>
          </cell>
          <cell r="B150" t="str">
            <v>COUNTERSUNK SCREW M4X14</v>
          </cell>
          <cell r="C150">
            <v>0</v>
          </cell>
          <cell r="D150" t="str">
            <v>8</v>
          </cell>
        </row>
        <row r="151">
          <cell r="A151" t="str">
            <v>2012-141</v>
          </cell>
          <cell r="B151" t="str">
            <v>PIN 4X10</v>
          </cell>
          <cell r="C151" t="str">
            <v>pines de cuaderna</v>
          </cell>
          <cell r="D151" t="str">
            <v>4</v>
          </cell>
          <cell r="E151">
            <v>10</v>
          </cell>
        </row>
        <row r="152">
          <cell r="A152" t="str">
            <v>2012-142</v>
          </cell>
          <cell r="B152" t="str">
            <v>COUNTERSUNK SCREW M4X10</v>
          </cell>
          <cell r="C152">
            <v>0</v>
          </cell>
          <cell r="D152" t="str">
            <v>8</v>
          </cell>
        </row>
        <row r="153">
          <cell r="A153" t="str">
            <v>2012-143</v>
          </cell>
          <cell r="B153" t="str">
            <v>UPPER PIN REAR SHOCK FIXING</v>
          </cell>
          <cell r="C153" t="str">
            <v>pieza en la que encastra el amoritiguador traseros (va el clip)</v>
          </cell>
          <cell r="D153" t="str">
            <v>1</v>
          </cell>
          <cell r="E153">
            <v>25</v>
          </cell>
        </row>
        <row r="154">
          <cell r="A154" t="str">
            <v>2012-144</v>
          </cell>
          <cell r="B154" t="str">
            <v>RETAINER RING FOR SHOCK</v>
          </cell>
          <cell r="C154" t="str">
            <v>clips amortiguador</v>
          </cell>
          <cell r="D154" t="str">
            <v>4</v>
          </cell>
          <cell r="E154">
            <v>10</v>
          </cell>
        </row>
        <row r="155">
          <cell r="A155" t="str">
            <v>2012-145</v>
          </cell>
          <cell r="B155" t="str">
            <v>SOCKET HEAD SCREW  M4X20</v>
          </cell>
          <cell r="C155">
            <v>0</v>
          </cell>
          <cell r="D155" t="str">
            <v>4</v>
          </cell>
        </row>
        <row r="156">
          <cell r="A156" t="str">
            <v>2012-146</v>
          </cell>
          <cell r="B156" t="str">
            <v>REAR BODY SUPPORT BRACKET</v>
          </cell>
          <cell r="C156" t="str">
            <v>soporte de carroceria de aluminio (brazo)</v>
          </cell>
          <cell r="D156" t="str">
            <v>1</v>
          </cell>
          <cell r="E156">
            <v>20</v>
          </cell>
        </row>
        <row r="157">
          <cell r="A157" t="str">
            <v>2012-147</v>
          </cell>
          <cell r="B157" t="str">
            <v>CARBON FIBER REAR BODY SUPPORT</v>
          </cell>
          <cell r="C157" t="str">
            <v>carbono de carroceria trasero</v>
          </cell>
          <cell r="D157" t="str">
            <v>1</v>
          </cell>
          <cell r="E157">
            <v>20</v>
          </cell>
        </row>
        <row r="158">
          <cell r="A158" t="str">
            <v>2012-148</v>
          </cell>
          <cell r="B158" t="str">
            <v>REAR BODY MOUNT COLUMN</v>
          </cell>
          <cell r="C158" t="str">
            <v>palito de carroceria trasero completo</v>
          </cell>
          <cell r="D158" t="str">
            <v>1</v>
          </cell>
          <cell r="E158">
            <v>20</v>
          </cell>
        </row>
        <row r="159">
          <cell r="A159" t="str">
            <v>2012-149</v>
          </cell>
          <cell r="B159" t="str">
            <v>COUNTERSUNK SCREW  M5X18</v>
          </cell>
          <cell r="C159">
            <v>0</v>
          </cell>
          <cell r="D159" t="str">
            <v>4</v>
          </cell>
        </row>
        <row r="160">
          <cell r="A160" t="str">
            <v>2012-150</v>
          </cell>
          <cell r="B160" t="str">
            <v>REAR MOUNTS SPACER</v>
          </cell>
          <cell r="C160" t="str">
            <v>pieza que une las dos cuadernas en forma de "S"</v>
          </cell>
          <cell r="D160" t="str">
            <v>1</v>
          </cell>
          <cell r="E160">
            <v>35</v>
          </cell>
        </row>
        <row r="161">
          <cell r="A161" t="str">
            <v>2012-151</v>
          </cell>
          <cell r="B161" t="str">
            <v>REAR AXLE MOUNT RH</v>
          </cell>
          <cell r="C161" t="str">
            <v>Bancada trasera derecha</v>
          </cell>
          <cell r="D161">
            <v>1</v>
          </cell>
          <cell r="E161">
            <v>100</v>
          </cell>
        </row>
        <row r="162">
          <cell r="A162" t="str">
            <v>2012-152</v>
          </cell>
          <cell r="B162" t="str">
            <v>CARBON FIBER BATTERY SUPPORT</v>
          </cell>
          <cell r="C162" t="str">
            <v>soporte de bateria viejo</v>
          </cell>
          <cell r="D162" t="str">
            <v>1</v>
          </cell>
        </row>
        <row r="163">
          <cell r="A163" t="str">
            <v>2012-153</v>
          </cell>
          <cell r="B163" t="str">
            <v>DIFFERENTIAL GEARWELL Z 73</v>
          </cell>
          <cell r="C163" t="str">
            <v>corona de diferencial</v>
          </cell>
          <cell r="D163" t="str">
            <v>1</v>
          </cell>
          <cell r="E163">
            <v>80</v>
          </cell>
        </row>
        <row r="164">
          <cell r="A164" t="str">
            <v>2012-154</v>
          </cell>
          <cell r="B164" t="str">
            <v>SECOND SHAFT PINION  Z 25</v>
          </cell>
          <cell r="C164" t="str">
            <v>piñon eje medio 25</v>
          </cell>
          <cell r="D164" t="str">
            <v>1</v>
          </cell>
          <cell r="E164">
            <v>40</v>
          </cell>
        </row>
        <row r="165">
          <cell r="A165" t="str">
            <v>2012-155</v>
          </cell>
          <cell r="B165" t="str">
            <v>PROTECTIVE BELLOW</v>
          </cell>
          <cell r="C165" t="str">
            <v>fuelle de palier</v>
          </cell>
          <cell r="D165" t="str">
            <v>2</v>
          </cell>
          <cell r="E165">
            <v>20</v>
          </cell>
        </row>
        <row r="166">
          <cell r="A166" t="str">
            <v>2012-156</v>
          </cell>
          <cell r="B166" t="str">
            <v>CLUTCH ADAPTOR CONE</v>
          </cell>
          <cell r="C166" t="str">
            <v>adaptador de embrague</v>
          </cell>
          <cell r="D166" t="str">
            <v>1</v>
          </cell>
        </row>
        <row r="167">
          <cell r="A167" t="str">
            <v>2012-157</v>
          </cell>
          <cell r="B167" t="str">
            <v>3 SHOES COMPLETE CLUTCH</v>
          </cell>
          <cell r="C167">
            <v>0</v>
          </cell>
          <cell r="D167" t="str">
            <v>1</v>
          </cell>
        </row>
        <row r="168">
          <cell r="A168" t="str">
            <v>2012-158</v>
          </cell>
          <cell r="B168" t="str">
            <v>CLUTCH SHOES</v>
          </cell>
          <cell r="C168">
            <v>0</v>
          </cell>
          <cell r="D168" t="str">
            <v>3</v>
          </cell>
        </row>
        <row r="169">
          <cell r="A169" t="str">
            <v>2012-159</v>
          </cell>
          <cell r="B169" t="str">
            <v>CLUTCH SPRINGS DIAM. 1.3</v>
          </cell>
          <cell r="C169">
            <v>0</v>
          </cell>
          <cell r="D169" t="str">
            <v>3</v>
          </cell>
        </row>
        <row r="170">
          <cell r="A170" t="str">
            <v>2012-160</v>
          </cell>
          <cell r="B170" t="str">
            <v>CLUTCH SPRINGS GUIDE</v>
          </cell>
          <cell r="C170">
            <v>0</v>
          </cell>
          <cell r="D170" t="str">
            <v>6</v>
          </cell>
        </row>
        <row r="171">
          <cell r="A171" t="str">
            <v>2012-161</v>
          </cell>
          <cell r="B171" t="str">
            <v>DOUBLE SERVO RADIO PLATE</v>
          </cell>
          <cell r="C171" t="str">
            <v>radiotrain para 4 servos</v>
          </cell>
          <cell r="D171" t="str">
            <v>1</v>
          </cell>
          <cell r="E171">
            <v>40</v>
          </cell>
        </row>
        <row r="172">
          <cell r="A172" t="str">
            <v>2012-163</v>
          </cell>
          <cell r="B172" t="str">
            <v>DRIVE SHAFT RUBBER PADS</v>
          </cell>
          <cell r="C172" t="str">
            <v>gomas de palier</v>
          </cell>
          <cell r="D172" t="str">
            <v>4</v>
          </cell>
          <cell r="E172">
            <v>20</v>
          </cell>
        </row>
        <row r="173">
          <cell r="A173" t="str">
            <v>2012-165</v>
          </cell>
          <cell r="B173" t="str">
            <v>3 SHOES CLUTCH EXTRACTOR TOOL</v>
          </cell>
          <cell r="C173" t="str">
            <v>extractor de embrague de 3</v>
          </cell>
          <cell r="D173" t="str">
            <v>1</v>
          </cell>
        </row>
        <row r="174">
          <cell r="A174" t="str">
            <v>2012-166</v>
          </cell>
          <cell r="B174" t="str">
            <v>CARBON FIBER PIPE SUPPORT</v>
          </cell>
          <cell r="C174" t="str">
            <v>soporte de escape samba 7</v>
          </cell>
          <cell r="D174" t="str">
            <v>1</v>
          </cell>
          <cell r="E174">
            <v>40</v>
          </cell>
        </row>
        <row r="175">
          <cell r="A175" t="str">
            <v>2012-170</v>
          </cell>
          <cell r="B175" t="str">
            <v>SERVO SAVER SPHERICAL JOINT LONG</v>
          </cell>
          <cell r="C175" t="str">
            <v>columna de salvaservo para brazo de servo</v>
          </cell>
          <cell r="D175" t="str">
            <v>2</v>
          </cell>
          <cell r="E175">
            <v>20</v>
          </cell>
        </row>
        <row r="176">
          <cell r="A176" t="str">
            <v>2012-172</v>
          </cell>
          <cell r="B176" t="str">
            <v>RETAINING BRAKE LINE</v>
          </cell>
          <cell r="C176" t="str">
            <v>clips para manguera de freno</v>
          </cell>
          <cell r="D176" t="str">
            <v>2</v>
          </cell>
          <cell r="E176">
            <v>15</v>
          </cell>
        </row>
        <row r="177">
          <cell r="A177" t="str">
            <v>2012-173</v>
          </cell>
          <cell r="B177" t="str">
            <v>CLUTCH SPRINGS DIAM. 1.4</v>
          </cell>
          <cell r="C177">
            <v>0</v>
          </cell>
          <cell r="D177" t="str">
            <v>3</v>
          </cell>
        </row>
        <row r="178">
          <cell r="A178" t="str">
            <v>2012-175</v>
          </cell>
          <cell r="B178" t="str">
            <v>DIFFERENTIAL BEARING 15/24/5</v>
          </cell>
          <cell r="C178">
            <v>0</v>
          </cell>
          <cell r="D178" t="str">
            <v>1</v>
          </cell>
        </row>
        <row r="179">
          <cell r="A179" t="str">
            <v>2012-176</v>
          </cell>
          <cell r="B179" t="str">
            <v>FUEL TANK SEAL</v>
          </cell>
          <cell r="C179" t="str">
            <v>manguera de combustible</v>
          </cell>
          <cell r="D179" t="str">
            <v>2</v>
          </cell>
        </row>
        <row r="180">
          <cell r="A180" t="str">
            <v>2012-177</v>
          </cell>
          <cell r="B180" t="str">
            <v>COMPLETE STEERING STOPPER</v>
          </cell>
          <cell r="C180" t="str">
            <v>tope de direccion</v>
          </cell>
          <cell r="D180" t="str">
            <v>1</v>
          </cell>
          <cell r="E180">
            <v>25</v>
          </cell>
        </row>
        <row r="181">
          <cell r="A181" t="str">
            <v>2012-178</v>
          </cell>
          <cell r="B181" t="str">
            <v>FRONT UPRIGHT -3 RH</v>
          </cell>
          <cell r="C181" t="str">
            <v>masa con offset</v>
          </cell>
          <cell r="D181">
            <v>1</v>
          </cell>
        </row>
        <row r="182">
          <cell r="A182" t="str">
            <v>2012-179</v>
          </cell>
          <cell r="B182" t="str">
            <v>FRONT UPRIGHT -3 LH</v>
          </cell>
          <cell r="C182" t="str">
            <v>masa con offset</v>
          </cell>
          <cell r="D182" t="str">
            <v>1</v>
          </cell>
        </row>
        <row r="183">
          <cell r="A183" t="str">
            <v>2012-180</v>
          </cell>
          <cell r="B183" t="str">
            <v>DISAXLE FRONT UPRIGHT -6 -6 LH</v>
          </cell>
          <cell r="C183" t="str">
            <v>masa con diferente caster</v>
          </cell>
          <cell r="D183" t="str">
            <v>1</v>
          </cell>
        </row>
        <row r="184">
          <cell r="A184" t="str">
            <v>2012-181</v>
          </cell>
          <cell r="B184" t="str">
            <v>DISAXLE FRONT UPRIGHT -6 -6 RH</v>
          </cell>
          <cell r="C184" t="str">
            <v>masa con diferente caster</v>
          </cell>
          <cell r="D184" t="str">
            <v>1</v>
          </cell>
        </row>
        <row r="185">
          <cell r="A185" t="str">
            <v>2012-182</v>
          </cell>
          <cell r="B185" t="str">
            <v>AIR BOX FILTER</v>
          </cell>
          <cell r="C185" t="str">
            <v>filtro de aire</v>
          </cell>
          <cell r="D185" t="str">
            <v>1</v>
          </cell>
        </row>
        <row r="186">
          <cell r="A186" t="str">
            <v>2012-183</v>
          </cell>
          <cell r="B186" t="str">
            <v>CARBON RETAINING PLATE FOR BUMPER</v>
          </cell>
          <cell r="C186" t="str">
            <v>carbonos para el bumper</v>
          </cell>
          <cell r="D186" t="str">
            <v>2</v>
          </cell>
        </row>
        <row r="187">
          <cell r="A187" t="str">
            <v>2012-184</v>
          </cell>
          <cell r="B187" t="str">
            <v>CARBON FLOOR FOR WET TRACK</v>
          </cell>
          <cell r="C187" t="str">
            <v>piso de carbono para lluvia</v>
          </cell>
          <cell r="D187" t="str">
            <v>1</v>
          </cell>
        </row>
        <row r="188">
          <cell r="A188" t="str">
            <v>2012-185</v>
          </cell>
          <cell r="B188" t="str">
            <v>STEERING PIVOT DIAM. 4mm</v>
          </cell>
          <cell r="C188" t="str">
            <v>bola para salva servo . rotula de direccion</v>
          </cell>
          <cell r="D188" t="str">
            <v>1</v>
          </cell>
          <cell r="E188">
            <v>12</v>
          </cell>
        </row>
        <row r="189">
          <cell r="A189" t="str">
            <v>2012-186</v>
          </cell>
          <cell r="B189" t="str">
            <v>PAN-HEAD SCREW M4X16</v>
          </cell>
          <cell r="C189">
            <v>0</v>
          </cell>
          <cell r="D189" t="str">
            <v>8</v>
          </cell>
        </row>
        <row r="190">
          <cell r="A190" t="str">
            <v>2012-187</v>
          </cell>
          <cell r="B190" t="str">
            <v>PIVOT END WISHBONE SHORT</v>
          </cell>
          <cell r="C190" t="str">
            <v>rotula de aluminio completa</v>
          </cell>
          <cell r="D190" t="str">
            <v>1</v>
          </cell>
          <cell r="E190">
            <v>30</v>
          </cell>
        </row>
        <row r="191">
          <cell r="A191" t="str">
            <v>2012-188</v>
          </cell>
          <cell r="B191" t="str">
            <v>COUNTERSUNK SCREW M4X8</v>
          </cell>
          <cell r="C191">
            <v>0</v>
          </cell>
          <cell r="D191" t="str">
            <v>8</v>
          </cell>
        </row>
        <row r="192">
          <cell r="A192" t="str">
            <v>2012-189</v>
          </cell>
          <cell r="B192" t="str">
            <v>SCREW FOR BODYSHELL COLUMN</v>
          </cell>
          <cell r="C192" t="str">
            <v xml:space="preserve">tornillos  </v>
          </cell>
          <cell r="D192" t="str">
            <v>4</v>
          </cell>
        </row>
        <row r="193">
          <cell r="A193" t="str">
            <v>2012-190</v>
          </cell>
          <cell r="B193" t="str">
            <v>PAN-HEAD SCREW M6X18 AND WASHER</v>
          </cell>
          <cell r="C193">
            <v>0</v>
          </cell>
          <cell r="D193" t="str">
            <v>4</v>
          </cell>
        </row>
        <row r="194">
          <cell r="A194" t="str">
            <v>2012-191</v>
          </cell>
          <cell r="B194" t="str">
            <v>FRONT LOWER WISHBONE FORK KIT</v>
          </cell>
          <cell r="C194">
            <v>0</v>
          </cell>
          <cell r="D194" t="str">
            <v>2</v>
          </cell>
        </row>
        <row r="195">
          <cell r="A195" t="str">
            <v>2012-192</v>
          </cell>
          <cell r="B195" t="str">
            <v>FRONT ANTI-ROLL BAR DIAM. 6 mm</v>
          </cell>
          <cell r="C195" t="str">
            <v xml:space="preserve">barra 6mm vieja </v>
          </cell>
          <cell r="D195" t="str">
            <v>1</v>
          </cell>
          <cell r="E195">
            <v>50</v>
          </cell>
        </row>
        <row r="196">
          <cell r="A196" t="str">
            <v>2012-193</v>
          </cell>
          <cell r="B196" t="str">
            <v>ANTI-ROLL BAR BARREL DIAM. 6 mm</v>
          </cell>
          <cell r="C196">
            <v>0</v>
          </cell>
          <cell r="D196" t="str">
            <v>1</v>
          </cell>
        </row>
        <row r="197">
          <cell r="A197" t="str">
            <v>2012-194</v>
          </cell>
          <cell r="B197" t="str">
            <v>REAR ANTI-ROLL BAR DIAM. 5.5 mm</v>
          </cell>
          <cell r="C197">
            <v>0</v>
          </cell>
          <cell r="D197" t="str">
            <v>1</v>
          </cell>
        </row>
        <row r="198">
          <cell r="A198" t="str">
            <v>2012-195</v>
          </cell>
          <cell r="B198" t="str">
            <v>FRONT WEIGHT</v>
          </cell>
          <cell r="C198" t="str">
            <v>plomos delanteros</v>
          </cell>
          <cell r="D198" t="str">
            <v>2</v>
          </cell>
          <cell r="E198">
            <v>170</v>
          </cell>
        </row>
        <row r="199">
          <cell r="A199" t="str">
            <v>2012-196</v>
          </cell>
          <cell r="B199" t="str">
            <v>MEDIUM WEIGHT</v>
          </cell>
          <cell r="C199" t="str">
            <v>plomo grande salva servo</v>
          </cell>
          <cell r="D199" t="str">
            <v>2</v>
          </cell>
          <cell r="E199">
            <v>210</v>
          </cell>
        </row>
        <row r="200">
          <cell r="A200" t="str">
            <v>2012-197</v>
          </cell>
          <cell r="B200" t="str">
            <v>CENTRAL WEIGHT</v>
          </cell>
          <cell r="C200" t="str">
            <v>plomo tanque</v>
          </cell>
          <cell r="D200" t="str">
            <v>2</v>
          </cell>
          <cell r="E200">
            <v>200</v>
          </cell>
        </row>
        <row r="201">
          <cell r="A201" t="str">
            <v>2012-198</v>
          </cell>
          <cell r="B201" t="str">
            <v>FRONT UPRIGHT BEARING SPACER</v>
          </cell>
          <cell r="C201" t="str">
            <v>espaciador de rodamientos masa delantera</v>
          </cell>
          <cell r="D201" t="str">
            <v>2</v>
          </cell>
          <cell r="E201">
            <v>30</v>
          </cell>
        </row>
        <row r="202">
          <cell r="A202" t="str">
            <v>2012-199</v>
          </cell>
          <cell r="B202" t="str">
            <v>FRONT UPRIGHT STANDARD SPACER</v>
          </cell>
          <cell r="C202" t="str">
            <v>cono 6 mm</v>
          </cell>
          <cell r="D202">
            <v>4</v>
          </cell>
          <cell r="E202">
            <v>17</v>
          </cell>
        </row>
        <row r="203">
          <cell r="A203" t="str">
            <v>2012-200</v>
          </cell>
          <cell r="B203" t="str">
            <v>FRONT UPRIGHT MEDIUM SPACER -2</v>
          </cell>
          <cell r="C203" t="str">
            <v>cono 4 mm</v>
          </cell>
          <cell r="D203" t="str">
            <v>4</v>
          </cell>
          <cell r="E203">
            <v>17</v>
          </cell>
        </row>
        <row r="204">
          <cell r="A204" t="str">
            <v>2012-201</v>
          </cell>
          <cell r="B204" t="str">
            <v>FRONT UPRIGHT SHORT SPACER -4</v>
          </cell>
          <cell r="C204" t="str">
            <v>cono 2 mm</v>
          </cell>
          <cell r="D204" t="str">
            <v>4</v>
          </cell>
          <cell r="E204">
            <v>17</v>
          </cell>
        </row>
        <row r="205">
          <cell r="A205" t="str">
            <v>2012-202</v>
          </cell>
          <cell r="B205" t="str">
            <v>FRONT NEW BRAKE HUB STANDARD 14mm</v>
          </cell>
          <cell r="C205" t="str">
            <v>cubo para disco estrella 14mm</v>
          </cell>
          <cell r="D205" t="str">
            <v>2</v>
          </cell>
          <cell r="E205">
            <v>40</v>
          </cell>
        </row>
        <row r="206">
          <cell r="A206" t="str">
            <v>2012-203</v>
          </cell>
          <cell r="B206" t="str">
            <v>FRONT NEW BRAKE HUB STANDARD 12mm</v>
          </cell>
          <cell r="C206" t="str">
            <v>cubo para delante de 12 mm</v>
          </cell>
          <cell r="D206" t="str">
            <v>2</v>
          </cell>
          <cell r="E206">
            <v>40</v>
          </cell>
        </row>
        <row r="207">
          <cell r="A207" t="str">
            <v>2012-204</v>
          </cell>
          <cell r="B207" t="str">
            <v>REAR NEW BRAKE HUB STANDARD MM 11.5</v>
          </cell>
          <cell r="C207" t="str">
            <v>cubo traser de 11.5</v>
          </cell>
          <cell r="D207" t="str">
            <v>2</v>
          </cell>
          <cell r="E207">
            <v>40</v>
          </cell>
        </row>
        <row r="208">
          <cell r="A208" t="str">
            <v>2012-205</v>
          </cell>
          <cell r="B208" t="str">
            <v>NEW BRAKE DISK 2015</v>
          </cell>
          <cell r="C208" t="str">
            <v>disco estrella</v>
          </cell>
          <cell r="D208" t="str">
            <v>2</v>
          </cell>
          <cell r="E208">
            <v>22</v>
          </cell>
        </row>
        <row r="209">
          <cell r="A209" t="str">
            <v>2012-206</v>
          </cell>
          <cell r="B209" t="str">
            <v>FRONT UPRIGHT - 1.5 RH</v>
          </cell>
          <cell r="C209" t="str">
            <v>masa con offset</v>
          </cell>
          <cell r="D209" t="str">
            <v>1</v>
          </cell>
        </row>
        <row r="210">
          <cell r="A210" t="str">
            <v>2012-207</v>
          </cell>
          <cell r="B210" t="str">
            <v>FRONT UPRIGHT - 1.5 LH</v>
          </cell>
          <cell r="C210" t="str">
            <v>masa con offset</v>
          </cell>
          <cell r="D210" t="str">
            <v>1</v>
          </cell>
        </row>
        <row r="211">
          <cell r="A211" t="str">
            <v>2012-208</v>
          </cell>
          <cell r="B211" t="str">
            <v>SERVOSAVER ROD M4X53 mm RH LH</v>
          </cell>
          <cell r="C211" t="str">
            <v>der-izq de servos</v>
          </cell>
          <cell r="D211" t="str">
            <v>1</v>
          </cell>
          <cell r="E211">
            <v>20</v>
          </cell>
        </row>
        <row r="212">
          <cell r="A212" t="str">
            <v>2012-209</v>
          </cell>
          <cell r="B212" t="str">
            <v>COMPLETE JOINT HOLE DIAM. 3mm</v>
          </cell>
          <cell r="C212" t="str">
            <v>rotula de 3mm completa</v>
          </cell>
          <cell r="D212" t="str">
            <v>1</v>
          </cell>
          <cell r="E212">
            <v>12</v>
          </cell>
        </row>
        <row r="213">
          <cell r="A213" t="str">
            <v>2012-210</v>
          </cell>
          <cell r="B213" t="str">
            <v>ENGINE BRACKET</v>
          </cell>
          <cell r="C213" t="str">
            <v>tensor de motor (atras)</v>
          </cell>
          <cell r="D213" t="str">
            <v>1</v>
          </cell>
          <cell r="E213">
            <v>30</v>
          </cell>
        </row>
        <row r="214">
          <cell r="A214" t="str">
            <v>2012-211</v>
          </cell>
          <cell r="B214" t="str">
            <v>DIFFERENTIAL OUTER HUB</v>
          </cell>
          <cell r="C214" t="str">
            <v>cubo de diferencial</v>
          </cell>
          <cell r="D214" t="str">
            <v>1</v>
          </cell>
          <cell r="E214">
            <v>45</v>
          </cell>
        </row>
        <row r="215">
          <cell r="A215" t="str">
            <v>2012-212</v>
          </cell>
          <cell r="B215" t="str">
            <v>GROOVED CHASSIS 530</v>
          </cell>
          <cell r="C215" t="str">
            <v>chasis calado</v>
          </cell>
          <cell r="D215" t="str">
            <v>1</v>
          </cell>
          <cell r="E215">
            <v>1000</v>
          </cell>
        </row>
        <row r="216">
          <cell r="A216" t="str">
            <v>2012-213</v>
          </cell>
          <cell r="B216" t="str">
            <v>NEW BATTERY HOLDER SET</v>
          </cell>
          <cell r="C216" t="str">
            <v>soporte nuevo de bateria</v>
          </cell>
          <cell r="D216" t="str">
            <v>1</v>
          </cell>
          <cell r="E216">
            <v>95</v>
          </cell>
        </row>
        <row r="217">
          <cell r="A217" t="str">
            <v>2012-214</v>
          </cell>
          <cell r="B217" t="str">
            <v>CONVERSION KIT SHORT WHEELBASE FOR</v>
          </cell>
          <cell r="C217">
            <v>0</v>
          </cell>
          <cell r="D217" t="str">
            <v>1</v>
          </cell>
        </row>
        <row r="218">
          <cell r="A218">
            <v>0</v>
          </cell>
          <cell r="B218" t="str">
            <v>PORSCHE (RADIO PLATE DOUBLE SERVOS)</v>
          </cell>
          <cell r="C218">
            <v>0</v>
          </cell>
          <cell r="D218">
            <v>0</v>
          </cell>
        </row>
        <row r="219">
          <cell r="A219" t="str">
            <v>2012-215</v>
          </cell>
          <cell r="B219" t="str">
            <v>CONVERSION KIT SHORT WHEELBASE FOR</v>
          </cell>
          <cell r="C219">
            <v>0</v>
          </cell>
          <cell r="D219" t="str">
            <v>1</v>
          </cell>
        </row>
        <row r="220">
          <cell r="A220">
            <v>0</v>
          </cell>
          <cell r="B220" t="str">
            <v>PORSCHE (RADIO PLATE BIG SERVO)</v>
          </cell>
          <cell r="C220">
            <v>0</v>
          </cell>
          <cell r="D220">
            <v>0</v>
          </cell>
        </row>
        <row r="221">
          <cell r="A221" t="str">
            <v>2012-216</v>
          </cell>
          <cell r="B221" t="str">
            <v>RADIO PLATE DOUBLE SERVO</v>
          </cell>
          <cell r="C221">
            <v>0</v>
          </cell>
          <cell r="D221" t="str">
            <v>1</v>
          </cell>
        </row>
        <row r="222">
          <cell r="A222">
            <v>0</v>
          </cell>
          <cell r="B222" t="str">
            <v>(FOR SHORT CAR)</v>
          </cell>
          <cell r="C222">
            <v>0</v>
          </cell>
          <cell r="D222">
            <v>0</v>
          </cell>
        </row>
        <row r="223">
          <cell r="A223" t="str">
            <v>2012-217</v>
          </cell>
          <cell r="B223" t="str">
            <v>RADIO PLATE BIG SERVO (FOR SHORT CAR)</v>
          </cell>
          <cell r="C223">
            <v>0</v>
          </cell>
          <cell r="D223" t="str">
            <v>1</v>
          </cell>
        </row>
        <row r="224">
          <cell r="A224" t="str">
            <v>2012-218</v>
          </cell>
          <cell r="B224" t="str">
            <v>REAR CARBON BODY SUPPORT</v>
          </cell>
          <cell r="C224">
            <v>0</v>
          </cell>
          <cell r="D224">
            <v>1</v>
          </cell>
        </row>
        <row r="225">
          <cell r="A225">
            <v>0</v>
          </cell>
          <cell r="B225" t="str">
            <v>(FOR PORSCHE BODYSHELL)</v>
          </cell>
          <cell r="C225">
            <v>0</v>
          </cell>
          <cell r="D225">
            <v>0</v>
          </cell>
        </row>
        <row r="226">
          <cell r="A226" t="str">
            <v>2012-219</v>
          </cell>
          <cell r="B226" t="str">
            <v>REAR PLASTIC COLUMN SUPPORT</v>
          </cell>
          <cell r="C226">
            <v>0</v>
          </cell>
          <cell r="D226" t="str">
            <v>1</v>
          </cell>
        </row>
        <row r="227">
          <cell r="A227">
            <v>0</v>
          </cell>
          <cell r="B227" t="str">
            <v>(FOR PORSCHE BODYSHELL)</v>
          </cell>
          <cell r="C227">
            <v>0</v>
          </cell>
          <cell r="D227">
            <v>0</v>
          </cell>
        </row>
        <row r="228">
          <cell r="A228" t="str">
            <v>2012-220</v>
          </cell>
          <cell r="B228" t="str">
            <v>RADIO PLATE SPACER 5th COLUMN</v>
          </cell>
          <cell r="C228">
            <v>0</v>
          </cell>
          <cell r="D228" t="str">
            <v>1</v>
          </cell>
        </row>
        <row r="229">
          <cell r="A229" t="str">
            <v>2012-221</v>
          </cell>
          <cell r="B229" t="str">
            <v>LOWER ROLL BAR MOUNT LH 4 HOLES</v>
          </cell>
          <cell r="C229" t="str">
            <v>posiciones de barra trasera con 4 izquierda</v>
          </cell>
          <cell r="D229" t="str">
            <v>1</v>
          </cell>
          <cell r="E229">
            <v>15</v>
          </cell>
        </row>
        <row r="230">
          <cell r="A230" t="str">
            <v>2012-222</v>
          </cell>
          <cell r="B230" t="str">
            <v>LOWER ROLL BAR MOUNT RH 4 HOLES</v>
          </cell>
          <cell r="C230" t="str">
            <v>posiciones de barra trasera con 4 derecha</v>
          </cell>
          <cell r="D230" t="str">
            <v>1</v>
          </cell>
          <cell r="E230">
            <v>15</v>
          </cell>
        </row>
        <row r="231">
          <cell r="A231" t="str">
            <v>2012-223</v>
          </cell>
          <cell r="B231" t="str">
            <v>CLUTCH PINION Z34</v>
          </cell>
          <cell r="C231" t="str">
            <v>piñon 34</v>
          </cell>
          <cell r="D231" t="str">
            <v>1</v>
          </cell>
          <cell r="E231">
            <v>50</v>
          </cell>
        </row>
        <row r="232">
          <cell r="A232" t="str">
            <v>2012-224</v>
          </cell>
          <cell r="B232" t="str">
            <v>FRONT END KIT 2017</v>
          </cell>
          <cell r="C232" t="str">
            <v>KIT TREN DELANTERO</v>
          </cell>
          <cell r="D232" t="str">
            <v>1</v>
          </cell>
          <cell r="E232">
            <v>1000</v>
          </cell>
        </row>
        <row r="233">
          <cell r="A233" t="str">
            <v>2012-225</v>
          </cell>
          <cell r="B233" t="str">
            <v>NEW MEDIUM WEIGHT</v>
          </cell>
          <cell r="C233" t="str">
            <v>peso de servos . no grande</v>
          </cell>
          <cell r="D233" t="str">
            <v>2</v>
          </cell>
          <cell r="E233">
            <v>160</v>
          </cell>
        </row>
        <row r="234">
          <cell r="A234" t="str">
            <v>2012-226</v>
          </cell>
          <cell r="B234" t="str">
            <v>MEDIUM WEIGHT FOR SHORT CHASSIS</v>
          </cell>
          <cell r="C234">
            <v>0</v>
          </cell>
          <cell r="D234" t="str">
            <v>2</v>
          </cell>
        </row>
        <row r="235">
          <cell r="A235" t="str">
            <v>2012-227</v>
          </cell>
          <cell r="B235" t="str">
            <v>COMPLETE REAR ANTI-ROLL BAR KIT 2017</v>
          </cell>
          <cell r="C235" t="str">
            <v>barra nueva trasera</v>
          </cell>
          <cell r="D235" t="str">
            <v>1</v>
          </cell>
          <cell r="E235">
            <v>75</v>
          </cell>
        </row>
        <row r="236">
          <cell r="A236" t="str">
            <v>2012-228</v>
          </cell>
          <cell r="B236" t="str">
            <v>COMPLETE SERVO SAVER</v>
          </cell>
          <cell r="C236" t="str">
            <v>salva servo nuevo completo</v>
          </cell>
          <cell r="D236" t="str">
            <v>1</v>
          </cell>
          <cell r="E236">
            <v>90</v>
          </cell>
        </row>
        <row r="237">
          <cell r="A237" t="str">
            <v>2012-229</v>
          </cell>
          <cell r="B237" t="str">
            <v>FRONT LOWER WISHBONE LH 2017</v>
          </cell>
          <cell r="C237" t="str">
            <v>parrilla inferior tren delantero nuevo izquierda</v>
          </cell>
          <cell r="D237" t="str">
            <v>1</v>
          </cell>
          <cell r="E237">
            <v>100</v>
          </cell>
        </row>
        <row r="238">
          <cell r="A238" t="str">
            <v>2012-230</v>
          </cell>
          <cell r="B238" t="str">
            <v>FRONT LOWER WISHBONE RH 2017</v>
          </cell>
          <cell r="C238" t="str">
            <v>parrilla inferior tren delantero nuevo derecha</v>
          </cell>
          <cell r="D238" t="str">
            <v>1</v>
          </cell>
          <cell r="E238">
            <v>100</v>
          </cell>
        </row>
        <row r="239">
          <cell r="A239" t="str">
            <v>2012-231</v>
          </cell>
          <cell r="B239" t="str">
            <v>FRONT AXLE MOUNT LH 2017</v>
          </cell>
          <cell r="C239" t="str">
            <v>cuaderna tren delantero nuevo izquierda</v>
          </cell>
          <cell r="D239" t="str">
            <v>1</v>
          </cell>
          <cell r="E239">
            <v>100</v>
          </cell>
        </row>
        <row r="240">
          <cell r="A240" t="str">
            <v>2012-232</v>
          </cell>
          <cell r="B240" t="str">
            <v>FRONT AXLE MOUNT RH 2017</v>
          </cell>
          <cell r="C240" t="str">
            <v>cuaderna tren delantero nuevo izquierda</v>
          </cell>
          <cell r="D240" t="str">
            <v>1</v>
          </cell>
          <cell r="E240">
            <v>100</v>
          </cell>
        </row>
        <row r="241">
          <cell r="A241" t="str">
            <v>2012-233</v>
          </cell>
          <cell r="B241" t="str">
            <v>CARBON FIBER FRONT MOUNT PLATE 2017</v>
          </cell>
          <cell r="C241" t="str">
            <v>carbono que une cuadernas tren delantero viejo</v>
          </cell>
          <cell r="D241" t="str">
            <v>1</v>
          </cell>
          <cell r="E241">
            <v>30</v>
          </cell>
        </row>
        <row r="242">
          <cell r="A242" t="str">
            <v>2012-234</v>
          </cell>
          <cell r="B242" t="str">
            <v>FRONT SHOCK SUPPORT 2017</v>
          </cell>
          <cell r="C242" t="str">
            <v>torreta de amortiguadores tren delantero viejo</v>
          </cell>
          <cell r="D242" t="str">
            <v>1</v>
          </cell>
          <cell r="E242">
            <v>50</v>
          </cell>
        </row>
        <row r="243">
          <cell r="A243" t="str">
            <v>2012-235</v>
          </cell>
          <cell r="B243" t="str">
            <v>RADIO PLATE CONNECTION TRIANGLE 2017</v>
          </cell>
          <cell r="C243" t="str">
            <v>triangulo de salvaservo tren delantero nuevo</v>
          </cell>
          <cell r="D243">
            <v>1</v>
          </cell>
        </row>
        <row r="244">
          <cell r="A244" t="str">
            <v>2012-236</v>
          </cell>
          <cell r="B244" t="str">
            <v>PLASTIC SPACER FOR CONNECTION TRIANGLE 2017</v>
          </cell>
          <cell r="C244" t="str">
            <v>plasticos de triangulo de salva servo</v>
          </cell>
          <cell r="D244">
            <v>4</v>
          </cell>
          <cell r="E244">
            <v>10</v>
          </cell>
        </row>
        <row r="245">
          <cell r="A245" t="str">
            <v>2012-237</v>
          </cell>
          <cell r="B245" t="str">
            <v>DOUBLE SERVO RADIO PLATE 2017</v>
          </cell>
          <cell r="C245" t="str">
            <v>radio train tren delantero nuevo</v>
          </cell>
          <cell r="D245" t="str">
            <v>1</v>
          </cell>
          <cell r="E245">
            <v>40</v>
          </cell>
        </row>
        <row r="246">
          <cell r="A246" t="str">
            <v>2012-238</v>
          </cell>
          <cell r="B246" t="str">
            <v>SERVO SAVER SHAFT 2017</v>
          </cell>
          <cell r="C246" t="str">
            <v>eje de salvaservo nuevo</v>
          </cell>
          <cell r="D246" t="str">
            <v>1</v>
          </cell>
        </row>
        <row r="247">
          <cell r="A247" t="str">
            <v>2012-239</v>
          </cell>
          <cell r="B247" t="str">
            <v>SERVO SAVER BUSH 2017</v>
          </cell>
          <cell r="C247" t="str">
            <v>parte de salvaservo nuevo</v>
          </cell>
          <cell r="D247" t="str">
            <v>1</v>
          </cell>
        </row>
        <row r="248">
          <cell r="A248" t="str">
            <v>2012-240</v>
          </cell>
          <cell r="B248" t="str">
            <v>SERVO SAVER ADJUSTEMENT NUT 2017</v>
          </cell>
          <cell r="C248" t="str">
            <v>tuerca de ajuste salva servo</v>
          </cell>
          <cell r="D248" t="str">
            <v>1</v>
          </cell>
        </row>
        <row r="249">
          <cell r="A249" t="str">
            <v>2012-241</v>
          </cell>
          <cell r="B249" t="str">
            <v>SERVO SAVER NUT O RING 2017</v>
          </cell>
          <cell r="C249" t="str">
            <v>oring salva servo</v>
          </cell>
          <cell r="D249" t="str">
            <v>4</v>
          </cell>
        </row>
        <row r="250">
          <cell r="A250" t="str">
            <v>2012-242</v>
          </cell>
          <cell r="B250" t="str">
            <v>SERVO SAVER SPRING 2.6 MM</v>
          </cell>
          <cell r="C250" t="str">
            <v>resorte salvaservo</v>
          </cell>
          <cell r="D250" t="str">
            <v>1</v>
          </cell>
        </row>
        <row r="251">
          <cell r="A251" t="str">
            <v>2012-244</v>
          </cell>
          <cell r="B251" t="str">
            <v>SERVO SAVER LOWER BODY 2017</v>
          </cell>
          <cell r="C251" t="str">
            <v>cuerpo inferior salvaservo</v>
          </cell>
          <cell r="D251" t="str">
            <v>1</v>
          </cell>
        </row>
        <row r="252">
          <cell r="A252" t="str">
            <v>2012-245</v>
          </cell>
          <cell r="B252" t="str">
            <v>SERVO SAVER END 4 HOLES 2017</v>
          </cell>
          <cell r="C252" t="str">
            <v>pieza salvaservo ackkerman</v>
          </cell>
          <cell r="D252" t="str">
            <v>1</v>
          </cell>
        </row>
        <row r="253">
          <cell r="A253" t="str">
            <v>2012-246</v>
          </cell>
          <cell r="B253" t="str">
            <v>SERVO SAVER END 6 HOLES 2017</v>
          </cell>
          <cell r="C253" t="str">
            <v>pieza salvaservo ackkerman</v>
          </cell>
          <cell r="D253" t="str">
            <v>1</v>
          </cell>
        </row>
        <row r="254">
          <cell r="A254" t="str">
            <v>2012-248</v>
          </cell>
          <cell r="B254" t="str">
            <v>SERVO SAVER UPPER BODY 2017</v>
          </cell>
          <cell r="C254" t="str">
            <v>cuerpo superior salvaservo</v>
          </cell>
          <cell r="D254" t="str">
            <v>1</v>
          </cell>
        </row>
        <row r="255">
          <cell r="A255" t="str">
            <v>2012-249</v>
          </cell>
          <cell r="B255" t="str">
            <v>TITANIUM FRONT ANTI ROLL BAR KIT 2017</v>
          </cell>
          <cell r="C255" t="str">
            <v>kit de barra delantera nueva</v>
          </cell>
          <cell r="D255" t="str">
            <v>1</v>
          </cell>
          <cell r="E255">
            <v>75</v>
          </cell>
        </row>
        <row r="256">
          <cell r="A256" t="str">
            <v>2012-250</v>
          </cell>
          <cell r="B256" t="str">
            <v>TITANIUM FRONT ANTI ROLL BAR AXLE 2017</v>
          </cell>
          <cell r="C256" t="str">
            <v>barra central delantera de la barra</v>
          </cell>
          <cell r="D256" t="str">
            <v>1</v>
          </cell>
          <cell r="E256">
            <v>35</v>
          </cell>
        </row>
        <row r="257">
          <cell r="A257" t="str">
            <v>2012-251</v>
          </cell>
          <cell r="B257" t="str">
            <v>BODY MOUNT ANTIROLL BAR BLADE LH</v>
          </cell>
          <cell r="C257" t="str">
            <v>cuerpo de aluminio donde monta barra izquierda</v>
          </cell>
          <cell r="D257" t="str">
            <v>1</v>
          </cell>
          <cell r="E257">
            <v>35</v>
          </cell>
        </row>
        <row r="258">
          <cell r="A258" t="str">
            <v>2012-252</v>
          </cell>
          <cell r="B258" t="str">
            <v>BODY MOUNT ANTIROLL BAR BLADE RH</v>
          </cell>
          <cell r="C258" t="str">
            <v>cuerpo de aluminio donde monta barra derecha</v>
          </cell>
          <cell r="D258" t="str">
            <v>1</v>
          </cell>
          <cell r="E258">
            <v>35</v>
          </cell>
        </row>
        <row r="259">
          <cell r="A259" t="str">
            <v>2012-253</v>
          </cell>
          <cell r="B259" t="str">
            <v>TITANIUM BLADE ANTIROLL BAR 2.75 MM</v>
          </cell>
          <cell r="C259" t="str">
            <v>barra 2.75</v>
          </cell>
          <cell r="D259" t="str">
            <v>2</v>
          </cell>
          <cell r="E259">
            <v>20</v>
          </cell>
        </row>
        <row r="260">
          <cell r="A260" t="str">
            <v>2012-254</v>
          </cell>
          <cell r="B260" t="str">
            <v>TITANIUM BLADE ANTIROLL BAR 2.5 MM</v>
          </cell>
          <cell r="C260" t="str">
            <v>barra 2.5</v>
          </cell>
          <cell r="D260" t="str">
            <v>2</v>
          </cell>
          <cell r="E260">
            <v>20</v>
          </cell>
        </row>
        <row r="261">
          <cell r="A261" t="str">
            <v>2012-255</v>
          </cell>
          <cell r="B261" t="str">
            <v>TITANIUM BLADE ANTIROLL BAR 2.00 MM</v>
          </cell>
          <cell r="C261" t="str">
            <v>barra 2</v>
          </cell>
          <cell r="D261" t="str">
            <v>2</v>
          </cell>
          <cell r="E261">
            <v>20</v>
          </cell>
        </row>
        <row r="262">
          <cell r="A262" t="str">
            <v>2012-256</v>
          </cell>
          <cell r="B262" t="str">
            <v>TITANIUM BLADE ANTIROLL BAR 1.75 MM</v>
          </cell>
          <cell r="C262" t="str">
            <v>barra 1.75</v>
          </cell>
          <cell r="D262" t="str">
            <v>2</v>
          </cell>
          <cell r="E262">
            <v>20</v>
          </cell>
        </row>
        <row r="263">
          <cell r="A263" t="str">
            <v>2012-257</v>
          </cell>
          <cell r="B263" t="str">
            <v>TITANIUM BLADE ANTIROLL BAR 2.25 MM</v>
          </cell>
          <cell r="C263" t="str">
            <v xml:space="preserve">barra 2.25 </v>
          </cell>
          <cell r="D263" t="str">
            <v>2</v>
          </cell>
          <cell r="E263">
            <v>20</v>
          </cell>
        </row>
        <row r="264">
          <cell r="A264" t="str">
            <v>2012-258</v>
          </cell>
          <cell r="B264" t="str">
            <v>TITANIUM BLADE ANTIROLL BAR 1.5 MM</v>
          </cell>
          <cell r="C264" t="str">
            <v>barra 1.5</v>
          </cell>
          <cell r="D264" t="str">
            <v>2</v>
          </cell>
          <cell r="E264">
            <v>20</v>
          </cell>
        </row>
        <row r="265">
          <cell r="A265" t="str">
            <v>2012-262</v>
          </cell>
          <cell r="B265" t="str">
            <v>SERVO SAVER HOLDER</v>
          </cell>
          <cell r="C265" t="str">
            <v>traba salvaservo alinear</v>
          </cell>
          <cell r="D265" t="str">
            <v>1</v>
          </cell>
          <cell r="E265">
            <v>15</v>
          </cell>
        </row>
        <row r="266">
          <cell r="A266" t="str">
            <v>2012-263</v>
          </cell>
          <cell r="B266" t="str">
            <v>LOWER REAR SHOCK MOUNT KIT</v>
          </cell>
          <cell r="C266" t="str">
            <v>kit de posicion de amoriguador trasero de 3 agujeros</v>
          </cell>
          <cell r="D266" t="str">
            <v>1</v>
          </cell>
          <cell r="E266">
            <v>70</v>
          </cell>
        </row>
        <row r="267">
          <cell r="A267" t="str">
            <v>2012-264</v>
          </cell>
          <cell r="B267" t="str">
            <v>REAR LONG LOWER SHOCK FORK 3 HOLES</v>
          </cell>
          <cell r="C267" t="str">
            <v>pieza de 3 agujeros de amortiguador trasero SOLA . sin kit</v>
          </cell>
          <cell r="D267" t="str">
            <v>1</v>
          </cell>
          <cell r="E267">
            <v>35</v>
          </cell>
        </row>
        <row r="268">
          <cell r="A268" t="str">
            <v>2012-265</v>
          </cell>
          <cell r="B268" t="str">
            <v>COMPLETE ADJUSTABLE KIT FRONT LOWER ENGINE MOUNT</v>
          </cell>
          <cell r="C268" t="str">
            <v>kit de agarre de motor delantero . con lateral incluido</v>
          </cell>
          <cell r="D268">
            <v>1</v>
          </cell>
          <cell r="E268">
            <v>120</v>
          </cell>
        </row>
        <row r="269">
          <cell r="A269" t="str">
            <v>2012-266</v>
          </cell>
          <cell r="B269" t="str">
            <v>FRONT LOWER ENGINE MOUNT KIT</v>
          </cell>
          <cell r="C269" t="str">
            <v>agarre de motor delantero sin lateral</v>
          </cell>
          <cell r="D269" t="str">
            <v>1</v>
          </cell>
          <cell r="E269">
            <v>50</v>
          </cell>
        </row>
        <row r="270">
          <cell r="A270" t="str">
            <v>2012-267</v>
          </cell>
          <cell r="B270" t="str">
            <v>RADIO PLATE 2019 FOR 3 STANDARD SERVO</v>
          </cell>
          <cell r="C270" t="str">
            <v>radiotrain para 3 servos chicos</v>
          </cell>
          <cell r="D270" t="str">
            <v>1</v>
          </cell>
          <cell r="E270">
            <v>40</v>
          </cell>
        </row>
        <row r="271">
          <cell r="A271" t="str">
            <v>2012-270</v>
          </cell>
          <cell r="B271" t="str">
            <v>SIDE STIFFENER CHASSIS 2017 LH. RH</v>
          </cell>
          <cell r="C271" t="str">
            <v>laterales de chasis para pernos</v>
          </cell>
          <cell r="D271" t="str">
            <v>1</v>
          </cell>
          <cell r="E271">
            <v>80</v>
          </cell>
        </row>
        <row r="272">
          <cell r="A272" t="str">
            <v>2012-271</v>
          </cell>
          <cell r="B272" t="str">
            <v>CARBON FIBER PIPE SUPPORT FOR SAMBA 8</v>
          </cell>
          <cell r="C272" t="str">
            <v>soporte samba 8</v>
          </cell>
          <cell r="D272" t="str">
            <v>1</v>
          </cell>
          <cell r="E272">
            <v>40</v>
          </cell>
        </row>
        <row r="273">
          <cell r="A273" t="str">
            <v>2012-272</v>
          </cell>
          <cell r="B273" t="str">
            <v>CARBON FIBER SUPPORT FOR FUEL RECOVERY</v>
          </cell>
          <cell r="C273" t="str">
            <v>carbono para tachito</v>
          </cell>
          <cell r="D273" t="str">
            <v>1</v>
          </cell>
          <cell r="E273">
            <v>30</v>
          </cell>
        </row>
        <row r="274">
          <cell r="A274" t="str">
            <v>2012-273</v>
          </cell>
          <cell r="B274" t="str">
            <v>NEW FRONT UPRIGHT</v>
          </cell>
          <cell r="C274" t="str">
            <v>masa NUEVA</v>
          </cell>
          <cell r="D274" t="str">
            <v>1</v>
          </cell>
          <cell r="E274">
            <v>40</v>
          </cell>
        </row>
        <row r="275">
          <cell r="A275" t="str">
            <v>2012-274</v>
          </cell>
          <cell r="B275" t="str">
            <v>NEW BAG FOR LARGE SCALE MODEL</v>
          </cell>
          <cell r="C275" t="str">
            <v>bolso de auto</v>
          </cell>
          <cell r="D275" t="str">
            <v>1</v>
          </cell>
        </row>
        <row r="276">
          <cell r="A276" t="str">
            <v>2012-275</v>
          </cell>
          <cell r="B276" t="str">
            <v>BODYSHELL SUPPORT. SUITABLE FOR  SAMBA 7 AND SAMBA 8</v>
          </cell>
          <cell r="C276" t="str">
            <v>palito de carroceria doblado</v>
          </cell>
          <cell r="D276">
            <v>1</v>
          </cell>
          <cell r="E276">
            <v>30</v>
          </cell>
        </row>
        <row r="277">
          <cell r="A277" t="str">
            <v>2012-276</v>
          </cell>
          <cell r="B277" t="str">
            <v>NEW ACCESSORIES BAG</v>
          </cell>
          <cell r="C277" t="str">
            <v xml:space="preserve">bolso </v>
          </cell>
          <cell r="D277" t="str">
            <v>1</v>
          </cell>
        </row>
        <row r="278">
          <cell r="A278" t="str">
            <v>2012-277</v>
          </cell>
          <cell r="B278" t="str">
            <v>CAR COVER</v>
          </cell>
          <cell r="C278" t="str">
            <v>covertor de autos</v>
          </cell>
          <cell r="D278" t="str">
            <v>1</v>
          </cell>
        </row>
        <row r="279">
          <cell r="A279" t="str">
            <v>2012-278</v>
          </cell>
          <cell r="B279" t="str">
            <v>LEFT SIDE BRACE</v>
          </cell>
          <cell r="C279" t="str">
            <v>Tensor largo izquierdo</v>
          </cell>
          <cell r="D279" t="str">
            <v>1</v>
          </cell>
          <cell r="E279">
            <v>75</v>
          </cell>
        </row>
        <row r="280">
          <cell r="A280" t="str">
            <v>2012-279</v>
          </cell>
          <cell r="B280" t="str">
            <v>FUEL TANK PLASTIC BOTTLE ONLY</v>
          </cell>
          <cell r="C280" t="str">
            <v xml:space="preserve">tanque nuevo </v>
          </cell>
          <cell r="D280" t="str">
            <v>1</v>
          </cell>
          <cell r="E280">
            <v>350</v>
          </cell>
        </row>
        <row r="281">
          <cell r="A281" t="str">
            <v>2012-280</v>
          </cell>
          <cell r="B281" t="str">
            <v>PERFORMANCE KIT</v>
          </cell>
          <cell r="C281" t="str">
            <v>Kit de performance . ver foto</v>
          </cell>
          <cell r="D281" t="str">
            <v>1</v>
          </cell>
        </row>
        <row r="282">
          <cell r="A282" t="str">
            <v>2012-281</v>
          </cell>
          <cell r="B282" t="str">
            <v>LOWER ROLL BAR MOUNT LH 3 HOLES 2019</v>
          </cell>
          <cell r="C282" t="str">
            <v>soporte barra nueva mas dura izquierda</v>
          </cell>
          <cell r="D282" t="str">
            <v>1</v>
          </cell>
          <cell r="E282">
            <v>15</v>
          </cell>
        </row>
        <row r="283">
          <cell r="A283" t="str">
            <v>2012-282</v>
          </cell>
          <cell r="B283" t="str">
            <v>LOWER ROLL BAR MOUNT RH 3 HOLES 2019</v>
          </cell>
          <cell r="C283" t="str">
            <v>soporte barra nueva mas dura derecha</v>
          </cell>
          <cell r="D283" t="str">
            <v>1</v>
          </cell>
          <cell r="E283">
            <v>15</v>
          </cell>
        </row>
        <row r="284">
          <cell r="A284" t="str">
            <v>2012-283</v>
          </cell>
          <cell r="B284">
            <v>0</v>
          </cell>
          <cell r="C284" t="str">
            <v>Chasis corto KIT 2020 sin laterales</v>
          </cell>
          <cell r="D284" t="str">
            <v>2</v>
          </cell>
          <cell r="E284">
            <v>1100</v>
          </cell>
        </row>
        <row r="285">
          <cell r="A285" t="str">
            <v>2012-284</v>
          </cell>
          <cell r="B285">
            <v>0</v>
          </cell>
          <cell r="C285" t="str">
            <v>chasis corto 2020 3 servos sin laterales</v>
          </cell>
          <cell r="D285" t="str">
            <v>3</v>
          </cell>
          <cell r="E285">
            <v>1100</v>
          </cell>
        </row>
        <row r="286">
          <cell r="A286" t="str">
            <v>2021-05</v>
          </cell>
          <cell r="B286">
            <v>0</v>
          </cell>
          <cell r="C286" t="str">
            <v>BAQUELITA</v>
          </cell>
          <cell r="D286">
            <v>1</v>
          </cell>
        </row>
        <row r="287">
          <cell r="A287" t="str">
            <v>2021-21</v>
          </cell>
          <cell r="B287">
            <v>0</v>
          </cell>
          <cell r="C287" t="str">
            <v>carburador</v>
          </cell>
          <cell r="D287">
            <v>0</v>
          </cell>
          <cell r="E287">
            <v>115</v>
          </cell>
        </row>
        <row r="288">
          <cell r="A288" t="str">
            <v>TW-01</v>
          </cell>
          <cell r="B288" t="str">
            <v>T-SHIRT</v>
          </cell>
          <cell r="C288" t="str">
            <v>remera</v>
          </cell>
          <cell r="D288">
            <v>1</v>
          </cell>
        </row>
        <row r="289">
          <cell r="A289" t="str">
            <v>TW-02</v>
          </cell>
          <cell r="B289" t="str">
            <v>SWEATSHIRT</v>
          </cell>
          <cell r="C289" t="str">
            <v xml:space="preserve">buzo </v>
          </cell>
          <cell r="D289" t="str">
            <v>1</v>
          </cell>
        </row>
        <row r="290">
          <cell r="A290" t="str">
            <v>TW-03</v>
          </cell>
          <cell r="B290" t="str">
            <v>WINTER CAP</v>
          </cell>
          <cell r="C290" t="str">
            <v>campera rompevientos</v>
          </cell>
          <cell r="D290" t="str">
            <v>1</v>
          </cell>
          <cell r="E290">
            <v>510</v>
          </cell>
        </row>
        <row r="291">
          <cell r="A291" t="str">
            <v>TW-04</v>
          </cell>
          <cell r="B291" t="str">
            <v>WINTER JACKET</v>
          </cell>
          <cell r="C291" t="str">
            <v>campera de invierno</v>
          </cell>
          <cell r="D291" t="str">
            <v>1</v>
          </cell>
        </row>
        <row r="292">
          <cell r="A292" t="str">
            <v>2015-light</v>
          </cell>
          <cell r="B292">
            <v>0</v>
          </cell>
          <cell r="C292" t="str">
            <v>DIFERENCIAL COMPLETO</v>
          </cell>
          <cell r="D292">
            <v>1</v>
          </cell>
          <cell r="E292">
            <v>400</v>
          </cell>
        </row>
        <row r="293">
          <cell r="A293" t="str">
            <v>2015-40L</v>
          </cell>
          <cell r="B293">
            <v>0</v>
          </cell>
          <cell r="C293" t="str">
            <v>DIFERENCIAL SOLO</v>
          </cell>
          <cell r="D293">
            <v>1</v>
          </cell>
          <cell r="E293">
            <v>300</v>
          </cell>
        </row>
        <row r="294">
          <cell r="A294" t="str">
            <v>2015-41L</v>
          </cell>
          <cell r="B294">
            <v>0</v>
          </cell>
          <cell r="C294" t="str">
            <v>TAPA LIVIANA DE DIFF</v>
          </cell>
          <cell r="D294">
            <v>1</v>
          </cell>
          <cell r="E294">
            <v>300</v>
          </cell>
        </row>
        <row r="295">
          <cell r="A295">
            <v>0</v>
          </cell>
          <cell r="B295">
            <v>0</v>
          </cell>
          <cell r="C295">
            <v>0</v>
          </cell>
          <cell r="D295">
            <v>0</v>
          </cell>
        </row>
        <row r="296">
          <cell r="A296">
            <v>0</v>
          </cell>
          <cell r="B296">
            <v>0</v>
          </cell>
          <cell r="C296">
            <v>0</v>
          </cell>
          <cell r="D296">
            <v>0</v>
          </cell>
        </row>
        <row r="297">
          <cell r="A297" t="str">
            <v>1001 F</v>
          </cell>
          <cell r="B297">
            <v>0</v>
          </cell>
          <cell r="C297" t="str">
            <v>KIT FRENO DELANTERO</v>
          </cell>
          <cell r="D297">
            <v>0</v>
          </cell>
        </row>
        <row r="298">
          <cell r="A298" t="str">
            <v>1001 R</v>
          </cell>
          <cell r="B298">
            <v>0</v>
          </cell>
          <cell r="C298" t="str">
            <v>KIT FRENO TRASERO</v>
          </cell>
          <cell r="D298">
            <v>0</v>
          </cell>
        </row>
        <row r="299">
          <cell r="A299">
            <v>1000</v>
          </cell>
          <cell r="B299">
            <v>0</v>
          </cell>
          <cell r="C299" t="str">
            <v>BOMBA COMPLETA SOLA</v>
          </cell>
          <cell r="D299">
            <v>0</v>
          </cell>
        </row>
        <row r="300">
          <cell r="A300" t="str">
            <v>1000-01</v>
          </cell>
          <cell r="B300">
            <v>0</v>
          </cell>
          <cell r="C300" t="str">
            <v>PERNO DE BOMBA</v>
          </cell>
          <cell r="D300" t="str">
            <v>4</v>
          </cell>
        </row>
        <row r="301">
          <cell r="A301" t="str">
            <v>1000-02</v>
          </cell>
          <cell r="B301">
            <v>0</v>
          </cell>
          <cell r="C301" t="str">
            <v>PALANCA DE ACCION DE BOMBA</v>
          </cell>
          <cell r="D301" t="str">
            <v>1</v>
          </cell>
          <cell r="E301">
            <v>5</v>
          </cell>
        </row>
        <row r="302">
          <cell r="A302" t="str">
            <v>1000-03</v>
          </cell>
          <cell r="B302">
            <v>0</v>
          </cell>
          <cell r="C302" t="str">
            <v>ENCASTRE DE PALANCA</v>
          </cell>
          <cell r="D302" t="str">
            <v>1</v>
          </cell>
        </row>
        <row r="303">
          <cell r="A303" t="str">
            <v>1000-04</v>
          </cell>
          <cell r="B303">
            <v>0</v>
          </cell>
          <cell r="C303" t="str">
            <v>FUELLE DE BOMBA</v>
          </cell>
          <cell r="D303" t="str">
            <v>2</v>
          </cell>
          <cell r="E303">
            <v>10</v>
          </cell>
        </row>
        <row r="304">
          <cell r="A304" t="str">
            <v>1000-05</v>
          </cell>
          <cell r="B304">
            <v>0</v>
          </cell>
          <cell r="C304" t="str">
            <v>PISTON DE FRENO DE BOMBA</v>
          </cell>
          <cell r="D304" t="str">
            <v>1</v>
          </cell>
          <cell r="E304">
            <v>11</v>
          </cell>
        </row>
        <row r="305">
          <cell r="A305" t="str">
            <v>1000-06</v>
          </cell>
          <cell r="B305">
            <v>0</v>
          </cell>
          <cell r="C305" t="str">
            <v>RESORTE DE FRENO</v>
          </cell>
          <cell r="D305" t="str">
            <v>2</v>
          </cell>
          <cell r="E305">
            <v>11</v>
          </cell>
        </row>
        <row r="306">
          <cell r="A306" t="str">
            <v>1000-07</v>
          </cell>
          <cell r="B306">
            <v>0</v>
          </cell>
          <cell r="C306" t="str">
            <v>PERNO DE PIVOT</v>
          </cell>
          <cell r="D306" t="str">
            <v>4</v>
          </cell>
          <cell r="E306">
            <v>11</v>
          </cell>
        </row>
        <row r="307">
          <cell r="A307" t="str">
            <v>1000-08</v>
          </cell>
          <cell r="B307">
            <v>0</v>
          </cell>
          <cell r="C307" t="str">
            <v>CUERPO DE BOMBA</v>
          </cell>
          <cell r="D307" t="str">
            <v>1</v>
          </cell>
          <cell r="E307">
            <v>150</v>
          </cell>
        </row>
        <row r="308">
          <cell r="A308" t="str">
            <v>1000-09</v>
          </cell>
          <cell r="B308">
            <v>0</v>
          </cell>
          <cell r="C308" t="str">
            <v>MEMBRANA</v>
          </cell>
          <cell r="D308" t="str">
            <v>2</v>
          </cell>
          <cell r="E308">
            <v>10</v>
          </cell>
        </row>
        <row r="309">
          <cell r="A309" t="str">
            <v>1000-10</v>
          </cell>
          <cell r="B309">
            <v>0</v>
          </cell>
          <cell r="C309" t="str">
            <v>TAPA DE BOMBA</v>
          </cell>
          <cell r="D309" t="str">
            <v>1</v>
          </cell>
          <cell r="E309">
            <v>12</v>
          </cell>
        </row>
        <row r="310">
          <cell r="A310" t="str">
            <v>1000-11</v>
          </cell>
          <cell r="B310">
            <v>0</v>
          </cell>
          <cell r="C310" t="str">
            <v xml:space="preserve">CEGER DE PISTON </v>
          </cell>
          <cell r="D310" t="str">
            <v>2</v>
          </cell>
        </row>
        <row r="311">
          <cell r="A311" t="str">
            <v>1000-12</v>
          </cell>
          <cell r="B311">
            <v>0</v>
          </cell>
          <cell r="C311" t="str">
            <v>TORNILLOS DE BOMBA</v>
          </cell>
          <cell r="D311" t="str">
            <v>8</v>
          </cell>
        </row>
        <row r="312">
          <cell r="A312" t="str">
            <v>1000-13</v>
          </cell>
          <cell r="B312">
            <v>0</v>
          </cell>
          <cell r="C312" t="str">
            <v>PURGADOR</v>
          </cell>
          <cell r="D312" t="str">
            <v>2</v>
          </cell>
        </row>
        <row r="313">
          <cell r="A313" t="str">
            <v>1000-14</v>
          </cell>
          <cell r="B313">
            <v>0</v>
          </cell>
          <cell r="C313" t="str">
            <v>RACKOR DE FRENO</v>
          </cell>
          <cell r="D313" t="str">
            <v>2</v>
          </cell>
        </row>
        <row r="314">
          <cell r="A314" t="str">
            <v>1000-15</v>
          </cell>
          <cell r="B314">
            <v>0</v>
          </cell>
          <cell r="C314" t="str">
            <v>ALOJAMIENTO DE PERNO DE PIVOT</v>
          </cell>
          <cell r="D314" t="str">
            <v>1</v>
          </cell>
        </row>
        <row r="315">
          <cell r="A315" t="str">
            <v>1000-30</v>
          </cell>
          <cell r="B315">
            <v>0</v>
          </cell>
          <cell r="C315" t="str">
            <v xml:space="preserve">cuerpo de caliper derecho </v>
          </cell>
          <cell r="D315">
            <v>1</v>
          </cell>
        </row>
        <row r="316">
          <cell r="A316" t="str">
            <v>1000-31</v>
          </cell>
          <cell r="B316">
            <v>0</v>
          </cell>
          <cell r="C316" t="str">
            <v>cuerpo de caliper izquierdo</v>
          </cell>
          <cell r="D316">
            <v>1</v>
          </cell>
        </row>
        <row r="317">
          <cell r="A317" t="str">
            <v>1000-32</v>
          </cell>
          <cell r="B317">
            <v>0</v>
          </cell>
          <cell r="C317" t="str">
            <v>tornillo que agarra pieza donde aprieta caliper</v>
          </cell>
          <cell r="D317">
            <v>8</v>
          </cell>
        </row>
        <row r="318">
          <cell r="A318" t="str">
            <v>1000-33</v>
          </cell>
          <cell r="B318">
            <v>0</v>
          </cell>
          <cell r="C318" t="str">
            <v>tornillo de caliper</v>
          </cell>
          <cell r="D318" t="str">
            <v>8</v>
          </cell>
        </row>
        <row r="319">
          <cell r="A319" t="str">
            <v>1000-34</v>
          </cell>
          <cell r="B319">
            <v>0</v>
          </cell>
          <cell r="C319" t="str">
            <v>reten de piston</v>
          </cell>
          <cell r="D319" t="str">
            <v>1</v>
          </cell>
          <cell r="E319">
            <v>10</v>
          </cell>
        </row>
        <row r="320">
          <cell r="A320" t="str">
            <v>1000-35</v>
          </cell>
          <cell r="B320">
            <v>0</v>
          </cell>
          <cell r="C320" t="str">
            <v xml:space="preserve">piston de caliper </v>
          </cell>
          <cell r="D320" t="str">
            <v>1</v>
          </cell>
        </row>
        <row r="321">
          <cell r="A321" t="str">
            <v>1000-36</v>
          </cell>
          <cell r="B321">
            <v>0</v>
          </cell>
          <cell r="C321" t="str">
            <v>oring de piston</v>
          </cell>
          <cell r="D321" t="str">
            <v>4</v>
          </cell>
          <cell r="E321">
            <v>10</v>
          </cell>
        </row>
        <row r="322">
          <cell r="A322" t="str">
            <v>1000-37</v>
          </cell>
          <cell r="B322">
            <v>0</v>
          </cell>
          <cell r="C322" t="str">
            <v>perno de caliper</v>
          </cell>
          <cell r="D322" t="str">
            <v>4</v>
          </cell>
        </row>
        <row r="323">
          <cell r="A323" t="str">
            <v>1000-38</v>
          </cell>
          <cell r="B323">
            <v>0</v>
          </cell>
          <cell r="C323" t="str">
            <v xml:space="preserve">pastilla de freno </v>
          </cell>
          <cell r="D323" t="str">
            <v>4</v>
          </cell>
          <cell r="E323">
            <v>26</v>
          </cell>
        </row>
        <row r="324">
          <cell r="A324" t="str">
            <v>1000-39</v>
          </cell>
          <cell r="B324">
            <v>0</v>
          </cell>
          <cell r="C324" t="str">
            <v>resorte de caliper</v>
          </cell>
          <cell r="D324" t="str">
            <v>8</v>
          </cell>
          <cell r="E324">
            <v>8</v>
          </cell>
        </row>
        <row r="325">
          <cell r="A325" t="str">
            <v>1000-40</v>
          </cell>
          <cell r="B325">
            <v>0</v>
          </cell>
          <cell r="C325" t="str">
            <v>disco de freno viejo</v>
          </cell>
          <cell r="D325" t="str">
            <v>2</v>
          </cell>
        </row>
        <row r="326">
          <cell r="A326" t="str">
            <v>1000-41</v>
          </cell>
          <cell r="B326">
            <v>0</v>
          </cell>
          <cell r="C326" t="str">
            <v>tapa de caliper</v>
          </cell>
          <cell r="D326" t="str">
            <v>1</v>
          </cell>
        </row>
        <row r="327">
          <cell r="A327" t="str">
            <v>1000-42</v>
          </cell>
          <cell r="B327">
            <v>0</v>
          </cell>
          <cell r="C327" t="str">
            <v>tornillo de tapa de caliper</v>
          </cell>
          <cell r="D327" t="str">
            <v>8</v>
          </cell>
        </row>
        <row r="328">
          <cell r="A328" t="str">
            <v>1000-43</v>
          </cell>
          <cell r="B328">
            <v>0</v>
          </cell>
          <cell r="C328" t="str">
            <v>CONECTOR T DE PLASTICO , DIVISOR DE FRENO</v>
          </cell>
          <cell r="D328" t="str">
            <v>1</v>
          </cell>
        </row>
        <row r="329">
          <cell r="A329" t="str">
            <v>1000-50</v>
          </cell>
          <cell r="B329">
            <v>0</v>
          </cell>
          <cell r="C329" t="str">
            <v>PLACA DE AGARRE DE CALIPER DELANTERA</v>
          </cell>
          <cell r="D329">
            <v>2</v>
          </cell>
        </row>
        <row r="330">
          <cell r="A330" t="str">
            <v>1000-51</v>
          </cell>
          <cell r="B330">
            <v>0</v>
          </cell>
          <cell r="C330" t="str">
            <v>PLACA DE AGARRE DE CALIPER TRASERA</v>
          </cell>
          <cell r="D330">
            <v>2</v>
          </cell>
        </row>
        <row r="331">
          <cell r="A331" t="str">
            <v>1000-52</v>
          </cell>
          <cell r="B331">
            <v>0</v>
          </cell>
          <cell r="C331" t="str">
            <v>CONECTOR DE PLASTICO 45</v>
          </cell>
          <cell r="D331">
            <v>2</v>
          </cell>
        </row>
        <row r="332">
          <cell r="A332" t="str">
            <v>1000-53</v>
          </cell>
          <cell r="B332">
            <v>0</v>
          </cell>
          <cell r="C332" t="str">
            <v>liquido de frenO VERDE</v>
          </cell>
          <cell r="D332">
            <v>1</v>
          </cell>
        </row>
        <row r="333">
          <cell r="A333" t="str">
            <v>1000-54</v>
          </cell>
          <cell r="B333">
            <v>0</v>
          </cell>
          <cell r="C333" t="str">
            <v>Manguera de freno 1 metro</v>
          </cell>
          <cell r="D333">
            <v>1</v>
          </cell>
        </row>
        <row r="334">
          <cell r="A334" t="str">
            <v>1000-55</v>
          </cell>
          <cell r="B334" t="str">
            <v>rear steel conector</v>
          </cell>
          <cell r="C334">
            <v>0</v>
          </cell>
          <cell r="D334">
            <v>2</v>
          </cell>
        </row>
        <row r="335">
          <cell r="A335" t="str">
            <v>1000-58</v>
          </cell>
          <cell r="B335">
            <v>0</v>
          </cell>
          <cell r="C335" t="str">
            <v>kit de freno de pastillas de 2.4 EN PAG DE VICTOR</v>
          </cell>
          <cell r="D335">
            <v>0</v>
          </cell>
        </row>
        <row r="336">
          <cell r="A336" t="str">
            <v>1000-59</v>
          </cell>
          <cell r="B336">
            <v>0</v>
          </cell>
          <cell r="C336" t="str">
            <v>pastillas de freno nuevas de 2,4</v>
          </cell>
          <cell r="D336">
            <v>4</v>
          </cell>
        </row>
        <row r="337">
          <cell r="A337" t="str">
            <v>1000-60</v>
          </cell>
          <cell r="B337">
            <v>0</v>
          </cell>
          <cell r="C337" t="str">
            <v>covertor de pastilla de freno de 2,4</v>
          </cell>
          <cell r="D337">
            <v>1</v>
          </cell>
          <cell r="E337">
            <v>16</v>
          </cell>
        </row>
        <row r="338">
          <cell r="A338" t="str">
            <v>1000-62</v>
          </cell>
          <cell r="B338">
            <v>0</v>
          </cell>
          <cell r="C338" t="str">
            <v>membrana para dot 4</v>
          </cell>
          <cell r="D338">
            <v>2</v>
          </cell>
          <cell r="E338">
            <v>10</v>
          </cell>
        </row>
        <row r="339">
          <cell r="A339" t="str">
            <v>1000-63</v>
          </cell>
          <cell r="B339">
            <v>0</v>
          </cell>
          <cell r="C339" t="str">
            <v>kit de conversion dot 4</v>
          </cell>
          <cell r="D339">
            <v>1</v>
          </cell>
          <cell r="E339">
            <v>16</v>
          </cell>
        </row>
        <row r="340">
          <cell r="A340" t="str">
            <v>1000-64</v>
          </cell>
          <cell r="B340">
            <v>0</v>
          </cell>
          <cell r="C340" t="str">
            <v>liquido de freno dot 4</v>
          </cell>
          <cell r="D340">
            <v>1</v>
          </cell>
        </row>
        <row r="341">
          <cell r="A341" t="str">
            <v>1000-65</v>
          </cell>
          <cell r="B341">
            <v>0</v>
          </cell>
          <cell r="C341" t="str">
            <v>Chapita companza uso de disco</v>
          </cell>
          <cell r="D341">
            <v>4</v>
          </cell>
        </row>
        <row r="342">
          <cell r="A342">
            <v>0</v>
          </cell>
          <cell r="B342">
            <v>0</v>
          </cell>
          <cell r="C342" t="str">
            <v>RACKOR DE FRENO</v>
          </cell>
        </row>
        <row r="343">
          <cell r="A343">
            <v>2009</v>
          </cell>
          <cell r="B343">
            <v>0</v>
          </cell>
          <cell r="C343" t="str">
            <v xml:space="preserve">AMORTIGUADOR COMPLETO </v>
          </cell>
          <cell r="D343">
            <v>2</v>
          </cell>
        </row>
        <row r="344">
          <cell r="A344" t="str">
            <v>2009-00</v>
          </cell>
          <cell r="B344">
            <v>0</v>
          </cell>
          <cell r="C344" t="str">
            <v>resorte verde</v>
          </cell>
          <cell r="D344">
            <v>2</v>
          </cell>
          <cell r="E344">
            <v>80</v>
          </cell>
        </row>
        <row r="345">
          <cell r="A345" t="str">
            <v>2009-01</v>
          </cell>
          <cell r="B345">
            <v>0</v>
          </cell>
          <cell r="C345" t="str">
            <v>resorte anaranja</v>
          </cell>
          <cell r="D345">
            <v>2</v>
          </cell>
          <cell r="E345">
            <v>80</v>
          </cell>
        </row>
        <row r="346">
          <cell r="A346" t="str">
            <v>2009-02</v>
          </cell>
          <cell r="B346">
            <v>0</v>
          </cell>
          <cell r="C346" t="str">
            <v>resorte azul</v>
          </cell>
          <cell r="D346">
            <v>2</v>
          </cell>
          <cell r="E346">
            <v>80</v>
          </cell>
        </row>
        <row r="347">
          <cell r="A347" t="str">
            <v>2009-03</v>
          </cell>
          <cell r="B347">
            <v>0</v>
          </cell>
          <cell r="C347" t="str">
            <v>resorte rojo</v>
          </cell>
          <cell r="D347">
            <v>2</v>
          </cell>
          <cell r="E347">
            <v>80</v>
          </cell>
        </row>
        <row r="348">
          <cell r="A348" t="str">
            <v>2009-04</v>
          </cell>
          <cell r="B348">
            <v>0</v>
          </cell>
          <cell r="C348" t="str">
            <v>resorte amarillo</v>
          </cell>
          <cell r="D348">
            <v>2</v>
          </cell>
          <cell r="E348">
            <v>80</v>
          </cell>
        </row>
        <row r="349">
          <cell r="A349" t="str">
            <v>2009-07</v>
          </cell>
          <cell r="B349">
            <v>0</v>
          </cell>
          <cell r="C349" t="str">
            <v>resorte blanco</v>
          </cell>
          <cell r="D349">
            <v>2</v>
          </cell>
          <cell r="E349">
            <v>80</v>
          </cell>
        </row>
        <row r="350">
          <cell r="A350" t="str">
            <v>2009-08</v>
          </cell>
          <cell r="B350">
            <v>0</v>
          </cell>
          <cell r="C350" t="str">
            <v>resorte gris</v>
          </cell>
          <cell r="D350">
            <v>2</v>
          </cell>
          <cell r="E350">
            <v>80</v>
          </cell>
        </row>
        <row r="351">
          <cell r="A351" t="str">
            <v>2009-09</v>
          </cell>
          <cell r="B351">
            <v>0</v>
          </cell>
          <cell r="C351" t="str">
            <v>resorte negro</v>
          </cell>
          <cell r="D351">
            <v>2</v>
          </cell>
          <cell r="E351">
            <v>80</v>
          </cell>
        </row>
        <row r="352">
          <cell r="A352">
            <v>0</v>
          </cell>
          <cell r="B352">
            <v>0</v>
          </cell>
          <cell r="C352">
            <v>0</v>
          </cell>
          <cell r="D352">
            <v>0</v>
          </cell>
        </row>
        <row r="353">
          <cell r="A353" t="str">
            <v>2009-12</v>
          </cell>
          <cell r="B353">
            <v>0</v>
          </cell>
          <cell r="C353" t="str">
            <v>bujes de amortiguador para montaje</v>
          </cell>
          <cell r="D353">
            <v>4</v>
          </cell>
        </row>
        <row r="354">
          <cell r="A354" t="str">
            <v>2009-13</v>
          </cell>
          <cell r="B354">
            <v>0</v>
          </cell>
          <cell r="C354" t="str">
            <v>tornillos para cargar</v>
          </cell>
          <cell r="D354" t="str">
            <v>4</v>
          </cell>
          <cell r="E354">
            <v>10</v>
          </cell>
        </row>
        <row r="355">
          <cell r="A355" t="str">
            <v>2009-14</v>
          </cell>
          <cell r="B355">
            <v>0</v>
          </cell>
          <cell r="C355">
            <v>0</v>
          </cell>
          <cell r="D355" t="str">
            <v>4</v>
          </cell>
        </row>
        <row r="356">
          <cell r="A356" t="str">
            <v>2009-15</v>
          </cell>
          <cell r="B356">
            <v>0</v>
          </cell>
          <cell r="C356">
            <v>0</v>
          </cell>
          <cell r="D356" t="str">
            <v>1</v>
          </cell>
        </row>
        <row r="357">
          <cell r="A357" t="str">
            <v>2009-16</v>
          </cell>
          <cell r="B357">
            <v>0</v>
          </cell>
          <cell r="C357">
            <v>0</v>
          </cell>
          <cell r="D357" t="str">
            <v>4</v>
          </cell>
        </row>
        <row r="358">
          <cell r="A358" t="str">
            <v>2009-17</v>
          </cell>
          <cell r="B358">
            <v>0</v>
          </cell>
          <cell r="C358">
            <v>0</v>
          </cell>
          <cell r="D358" t="str">
            <v>4</v>
          </cell>
        </row>
        <row r="359">
          <cell r="A359" t="str">
            <v>2009-18</v>
          </cell>
          <cell r="B359">
            <v>0</v>
          </cell>
          <cell r="C359" t="str">
            <v>piston plastico de compensacion</v>
          </cell>
          <cell r="D359" t="str">
            <v>1</v>
          </cell>
        </row>
        <row r="360">
          <cell r="A360" t="str">
            <v>2009-19</v>
          </cell>
          <cell r="B360">
            <v>0</v>
          </cell>
          <cell r="C360" t="str">
            <v>valvula interna de compensacion</v>
          </cell>
          <cell r="D360" t="str">
            <v>1</v>
          </cell>
        </row>
        <row r="361">
          <cell r="A361" t="str">
            <v>2009-20</v>
          </cell>
          <cell r="B361">
            <v>0</v>
          </cell>
          <cell r="C361" t="str">
            <v>resorte interno de compensacion</v>
          </cell>
          <cell r="D361" t="str">
            <v>2</v>
          </cell>
        </row>
        <row r="362">
          <cell r="A362" t="str">
            <v>2009-21</v>
          </cell>
          <cell r="B362">
            <v>0</v>
          </cell>
          <cell r="C362" t="str">
            <v>oring de 2do cuerpo</v>
          </cell>
          <cell r="D362" t="str">
            <v>2</v>
          </cell>
          <cell r="E362">
            <v>10</v>
          </cell>
        </row>
        <row r="363">
          <cell r="A363" t="str">
            <v>2009-22</v>
          </cell>
          <cell r="B363">
            <v>0</v>
          </cell>
          <cell r="C363" t="str">
            <v>cuerpo de compensacion</v>
          </cell>
          <cell r="D363" t="str">
            <v>1</v>
          </cell>
        </row>
        <row r="364">
          <cell r="A364" t="str">
            <v>2009-23</v>
          </cell>
          <cell r="B364">
            <v>0</v>
          </cell>
          <cell r="C364">
            <v>0</v>
          </cell>
          <cell r="D364" t="str">
            <v>1</v>
          </cell>
        </row>
        <row r="365">
          <cell r="A365" t="str">
            <v>2009-24</v>
          </cell>
          <cell r="B365">
            <v>0</v>
          </cell>
          <cell r="C365" t="str">
            <v>oring de rosca de compresion</v>
          </cell>
          <cell r="D365" t="str">
            <v>2</v>
          </cell>
          <cell r="E365">
            <v>10</v>
          </cell>
        </row>
        <row r="366">
          <cell r="A366" t="str">
            <v>2009-25</v>
          </cell>
          <cell r="B366">
            <v>0</v>
          </cell>
          <cell r="C366" t="str">
            <v>rosca de compresion espiral</v>
          </cell>
          <cell r="D366" t="str">
            <v>1</v>
          </cell>
        </row>
        <row r="367">
          <cell r="A367" t="str">
            <v>2009-26</v>
          </cell>
          <cell r="B367">
            <v>0</v>
          </cell>
          <cell r="C367">
            <v>0</v>
          </cell>
          <cell r="D367" t="str">
            <v>2</v>
          </cell>
        </row>
        <row r="368">
          <cell r="A368" t="str">
            <v>2009-27</v>
          </cell>
          <cell r="B368">
            <v>0</v>
          </cell>
          <cell r="C368">
            <v>0</v>
          </cell>
          <cell r="D368" t="str">
            <v>1</v>
          </cell>
        </row>
        <row r="369">
          <cell r="A369" t="str">
            <v>2009-28</v>
          </cell>
          <cell r="B369">
            <v>0</v>
          </cell>
          <cell r="C369" t="str">
            <v>cuerpo ingerior con oring completo</v>
          </cell>
          <cell r="D369" t="str">
            <v>1</v>
          </cell>
        </row>
        <row r="370">
          <cell r="A370" t="str">
            <v>2009-29</v>
          </cell>
          <cell r="B370">
            <v>0</v>
          </cell>
          <cell r="C370" t="str">
            <v>oring de cuerpo inferior</v>
          </cell>
          <cell r="D370" t="str">
            <v>2</v>
          </cell>
          <cell r="E370">
            <v>10</v>
          </cell>
        </row>
        <row r="371">
          <cell r="A371" t="str">
            <v>2009-30</v>
          </cell>
          <cell r="B371">
            <v>0</v>
          </cell>
          <cell r="C371" t="str">
            <v>oring pequeños de cuerpo inferior (rojos)</v>
          </cell>
          <cell r="D371" t="str">
            <v>2</v>
          </cell>
          <cell r="E371">
            <v>10</v>
          </cell>
        </row>
        <row r="372">
          <cell r="A372" t="str">
            <v>2009-31</v>
          </cell>
          <cell r="B372">
            <v>0</v>
          </cell>
          <cell r="C372">
            <v>0</v>
          </cell>
          <cell r="D372">
            <v>1</v>
          </cell>
        </row>
        <row r="373">
          <cell r="A373" t="str">
            <v>2009-32</v>
          </cell>
          <cell r="B373">
            <v>0</v>
          </cell>
          <cell r="C373" t="str">
            <v>cazoleta de amortiguador</v>
          </cell>
          <cell r="D373">
            <v>2</v>
          </cell>
          <cell r="E373">
            <v>15</v>
          </cell>
        </row>
        <row r="374">
          <cell r="A374" t="str">
            <v>2009-33</v>
          </cell>
          <cell r="B374">
            <v>0</v>
          </cell>
          <cell r="C374" t="str">
            <v>tuerca de soporte inferior</v>
          </cell>
          <cell r="D374">
            <v>2</v>
          </cell>
        </row>
        <row r="375">
          <cell r="A375" t="str">
            <v>2009-34</v>
          </cell>
          <cell r="B375">
            <v>0</v>
          </cell>
          <cell r="C375" t="str">
            <v>extremo amortiguador CORTO</v>
          </cell>
          <cell r="D375">
            <v>2</v>
          </cell>
          <cell r="E375">
            <v>15</v>
          </cell>
        </row>
        <row r="376">
          <cell r="A376" t="str">
            <v>2009-35</v>
          </cell>
          <cell r="B376">
            <v>0</v>
          </cell>
          <cell r="C376">
            <v>0</v>
          </cell>
          <cell r="D376">
            <v>2</v>
          </cell>
        </row>
        <row r="377">
          <cell r="A377" t="str">
            <v>2009-36</v>
          </cell>
          <cell r="B377">
            <v>0</v>
          </cell>
          <cell r="C377" t="str">
            <v>extremo de amortiguaodr largo</v>
          </cell>
          <cell r="D377">
            <v>2</v>
          </cell>
          <cell r="E377">
            <v>15</v>
          </cell>
        </row>
        <row r="378">
          <cell r="A378" t="str">
            <v>2009-39</v>
          </cell>
          <cell r="B378">
            <v>0</v>
          </cell>
          <cell r="C378" t="str">
            <v>Cuerpo de amoriguador</v>
          </cell>
          <cell r="D378">
            <v>1</v>
          </cell>
        </row>
        <row r="379">
          <cell r="A379" t="str">
            <v>2009-41</v>
          </cell>
          <cell r="B379">
            <v>0</v>
          </cell>
          <cell r="C379" t="str">
            <v>pistones de amortiguador 1,4</v>
          </cell>
          <cell r="D379">
            <v>1</v>
          </cell>
        </row>
        <row r="380">
          <cell r="A380" t="str">
            <v>2009-42</v>
          </cell>
          <cell r="B380">
            <v>0</v>
          </cell>
          <cell r="C380" t="str">
            <v>vastago DORADO</v>
          </cell>
          <cell r="D380">
            <v>1</v>
          </cell>
          <cell r="E380">
            <v>20</v>
          </cell>
        </row>
        <row r="381">
          <cell r="A381" t="str">
            <v>2009-43</v>
          </cell>
          <cell r="B381">
            <v>0</v>
          </cell>
          <cell r="C381" t="str">
            <v>PISTON DE 1,5</v>
          </cell>
          <cell r="D381">
            <v>1</v>
          </cell>
        </row>
        <row r="382">
          <cell r="A382" t="str">
            <v>2009-44</v>
          </cell>
          <cell r="B382">
            <v>0</v>
          </cell>
          <cell r="C382" t="str">
            <v>PISTON DE 1,8</v>
          </cell>
          <cell r="D382">
            <v>1</v>
          </cell>
        </row>
        <row r="383">
          <cell r="A383">
            <v>2019</v>
          </cell>
          <cell r="B383">
            <v>0</v>
          </cell>
          <cell r="C383" t="str">
            <v>amortiguador nuevo completo</v>
          </cell>
          <cell r="D383">
            <v>2</v>
          </cell>
          <cell r="E383">
            <v>300</v>
          </cell>
        </row>
        <row r="384">
          <cell r="A384" t="str">
            <v>2019-10</v>
          </cell>
          <cell r="B384">
            <v>0</v>
          </cell>
          <cell r="C384" t="str">
            <v>kit de transformacion</v>
          </cell>
          <cell r="D384">
            <v>2</v>
          </cell>
          <cell r="E384">
            <v>60</v>
          </cell>
        </row>
        <row r="385">
          <cell r="A385">
            <v>0</v>
          </cell>
          <cell r="B385">
            <v>0</v>
          </cell>
          <cell r="C385">
            <v>0</v>
          </cell>
          <cell r="D385">
            <v>0</v>
          </cell>
        </row>
        <row r="386">
          <cell r="A386" t="str">
            <v>2020-01</v>
          </cell>
          <cell r="B386" t="str">
            <v>COMPLETE CLUTCH</v>
          </cell>
          <cell r="C386" t="str">
            <v>Embregue completo</v>
          </cell>
          <cell r="D386">
            <v>1</v>
          </cell>
          <cell r="E386">
            <v>90</v>
          </cell>
        </row>
        <row r="387">
          <cell r="A387" t="str">
            <v>2020-02</v>
          </cell>
          <cell r="B387" t="str">
            <v>COMPLETE CLUTCH</v>
          </cell>
          <cell r="C387" t="str">
            <v>Embregue completo</v>
          </cell>
          <cell r="D387">
            <v>1</v>
          </cell>
        </row>
        <row r="388">
          <cell r="A388" t="str">
            <v>2020-03</v>
          </cell>
          <cell r="B388" t="str">
            <v>CLUTCH ADJUSTING TOOL</v>
          </cell>
          <cell r="C388" t="str">
            <v>herramienta de ajuste</v>
          </cell>
          <cell r="D388">
            <v>1</v>
          </cell>
          <cell r="E388">
            <v>125</v>
          </cell>
        </row>
        <row r="389">
          <cell r="A389" t="str">
            <v>2020-04</v>
          </cell>
          <cell r="B389" t="str">
            <v>TOOL TO PRELOAD CLUTCH ADJUSTMENT</v>
          </cell>
          <cell r="C389" t="str">
            <v xml:space="preserve">herramienta para desanclar </v>
          </cell>
          <cell r="D389">
            <v>1</v>
          </cell>
          <cell r="E389">
            <v>35</v>
          </cell>
        </row>
        <row r="390">
          <cell r="A390" t="str">
            <v>2020-05</v>
          </cell>
          <cell r="B390" t="str">
            <v>REPLACEMENT SHOES 1CARBON 2ALLUMINIUM</v>
          </cell>
          <cell r="C390" t="str">
            <v>zapatas 2 alu + 1 carbomo</v>
          </cell>
          <cell r="D390">
            <v>3</v>
          </cell>
          <cell r="E390">
            <v>40</v>
          </cell>
        </row>
        <row r="391">
          <cell r="A391" t="str">
            <v>2020-06</v>
          </cell>
          <cell r="B391" t="str">
            <v>REPLACEMENT SHOES 3 CARBON</v>
          </cell>
          <cell r="C391" t="str">
            <v>3 zapatas de carbono</v>
          </cell>
          <cell r="D391">
            <v>3</v>
          </cell>
          <cell r="E391">
            <v>30</v>
          </cell>
        </row>
        <row r="392">
          <cell r="A392" t="str">
            <v>2020-07</v>
          </cell>
          <cell r="B392" t="str">
            <v>SPARE SPRINGS 2.4</v>
          </cell>
          <cell r="C392" t="str">
            <v>resortes 2.4</v>
          </cell>
          <cell r="D392">
            <v>3</v>
          </cell>
          <cell r="E392">
            <v>18</v>
          </cell>
        </row>
        <row r="393">
          <cell r="A393" t="str">
            <v>2020-08</v>
          </cell>
          <cell r="B393" t="str">
            <v xml:space="preserve">CLUTCH BODY FOR MEC / GENIUS </v>
          </cell>
          <cell r="C393" t="str">
            <v>cuerpo de embrague para meca</v>
          </cell>
          <cell r="D393">
            <v>1</v>
          </cell>
        </row>
        <row r="394">
          <cell r="A394" t="str">
            <v>2020-09</v>
          </cell>
          <cell r="B394" t="str">
            <v>CLUTCH BODY RS5/FG</v>
          </cell>
          <cell r="C394" t="str">
            <v>cuerpo de embrague rs5</v>
          </cell>
          <cell r="D394">
            <v>1</v>
          </cell>
        </row>
        <row r="395">
          <cell r="A395" t="str">
            <v>2020-10</v>
          </cell>
          <cell r="B395" t="str">
            <v>REPLACEMENT SHOES 3 ALUMINIUM</v>
          </cell>
          <cell r="C395" t="str">
            <v>3 zapatas de aluminio</v>
          </cell>
          <cell r="D395">
            <v>3</v>
          </cell>
        </row>
        <row r="396">
          <cell r="A396" t="str">
            <v>2020-12</v>
          </cell>
          <cell r="B396" t="str">
            <v>CARBON PLATE</v>
          </cell>
          <cell r="C396" t="str">
            <v>tapa de carbono</v>
          </cell>
          <cell r="D396">
            <v>1</v>
          </cell>
        </row>
        <row r="397">
          <cell r="A397" t="str">
            <v>2020-13</v>
          </cell>
          <cell r="B397" t="str">
            <v>SCREWS M3x8</v>
          </cell>
          <cell r="C397" t="str">
            <v>tornillos</v>
          </cell>
          <cell r="D397">
            <v>6</v>
          </cell>
        </row>
        <row r="398">
          <cell r="A398" t="str">
            <v>2020-14</v>
          </cell>
          <cell r="B398" t="str">
            <v>PRELOAD CAM</v>
          </cell>
          <cell r="C398" t="str">
            <v>cuerpo para posiciones</v>
          </cell>
          <cell r="D398">
            <v>1</v>
          </cell>
        </row>
        <row r="399">
          <cell r="A399" t="str">
            <v>2020-15</v>
          </cell>
          <cell r="B399" t="str">
            <v>RETAINING BUSH AND SCREW</v>
          </cell>
          <cell r="C399" t="str">
            <v>cono y tornillo para otros autos</v>
          </cell>
          <cell r="D399">
            <v>2</v>
          </cell>
        </row>
        <row r="400">
          <cell r="A400">
            <v>2021</v>
          </cell>
          <cell r="B400">
            <v>0</v>
          </cell>
          <cell r="C400" t="str">
            <v>ORING TANQUE</v>
          </cell>
          <cell r="D400">
            <v>1</v>
          </cell>
          <cell r="E400">
            <v>10</v>
          </cell>
        </row>
        <row r="401">
          <cell r="A401">
            <v>0</v>
          </cell>
          <cell r="B401">
            <v>0</v>
          </cell>
          <cell r="C401">
            <v>0</v>
          </cell>
          <cell r="D401">
            <v>0</v>
          </cell>
        </row>
        <row r="402">
          <cell r="A402" t="str">
            <v>2015-19</v>
          </cell>
          <cell r="B402">
            <v>0</v>
          </cell>
          <cell r="C402" t="str">
            <v>discos chicos diff</v>
          </cell>
          <cell r="D402">
            <v>4</v>
          </cell>
          <cell r="E402">
            <v>50</v>
          </cell>
        </row>
        <row r="403">
          <cell r="A403" t="str">
            <v>R0001</v>
          </cell>
          <cell r="B403">
            <v>0</v>
          </cell>
          <cell r="C403" t="str">
            <v>Rackor de freno</v>
          </cell>
          <cell r="D403">
            <v>0</v>
          </cell>
        </row>
        <row r="404">
          <cell r="A404">
            <v>0</v>
          </cell>
          <cell r="B404">
            <v>0</v>
          </cell>
          <cell r="C404">
            <v>0</v>
          </cell>
          <cell r="D404">
            <v>0</v>
          </cell>
        </row>
        <row r="405">
          <cell r="A405" t="str">
            <v>GRP XM2</v>
          </cell>
          <cell r="B405">
            <v>0</v>
          </cell>
          <cell r="C405" t="str">
            <v>Gomas</v>
          </cell>
          <cell r="D405">
            <v>0</v>
          </cell>
        </row>
        <row r="406">
          <cell r="A406" t="str">
            <v>CARROCERIA CHEVY</v>
          </cell>
          <cell r="B406">
            <v>0</v>
          </cell>
          <cell r="C406">
            <v>0</v>
          </cell>
          <cell r="D406">
            <v>0</v>
          </cell>
        </row>
        <row r="407">
          <cell r="A407" t="str">
            <v>CARROCERIA FORD</v>
          </cell>
          <cell r="B407">
            <v>0</v>
          </cell>
          <cell r="C407">
            <v>0</v>
          </cell>
          <cell r="D407">
            <v>0</v>
          </cell>
        </row>
        <row r="408">
          <cell r="A408" t="str">
            <v>PMT</v>
          </cell>
          <cell r="B408">
            <v>0</v>
          </cell>
          <cell r="C408" t="str">
            <v>Gomas</v>
          </cell>
          <cell r="D408">
            <v>0</v>
          </cell>
        </row>
        <row r="409">
          <cell r="A409">
            <v>0</v>
          </cell>
          <cell r="B409">
            <v>0</v>
          </cell>
          <cell r="C409">
            <v>0</v>
          </cell>
          <cell r="D409">
            <v>0</v>
          </cell>
        </row>
        <row r="410">
          <cell r="A410">
            <v>0</v>
          </cell>
          <cell r="B410">
            <v>0</v>
          </cell>
          <cell r="C410">
            <v>0</v>
          </cell>
          <cell r="D410">
            <v>0</v>
          </cell>
        </row>
        <row r="411">
          <cell r="A411">
            <v>0</v>
          </cell>
          <cell r="B411">
            <v>0</v>
          </cell>
          <cell r="C411">
            <v>0</v>
          </cell>
          <cell r="D411">
            <v>0</v>
          </cell>
        </row>
        <row r="412">
          <cell r="A412">
            <v>0</v>
          </cell>
          <cell r="B412">
            <v>0</v>
          </cell>
          <cell r="C412">
            <v>0</v>
          </cell>
          <cell r="D412">
            <v>0</v>
          </cell>
        </row>
        <row r="413">
          <cell r="A413" t="str">
            <v>2021-01</v>
          </cell>
          <cell r="C413" t="str">
            <v>KIT RULEMANES COMPLETO</v>
          </cell>
          <cell r="D413" t="e">
            <v>#N/A</v>
          </cell>
          <cell r="E413">
            <v>105</v>
          </cell>
        </row>
        <row r="414">
          <cell r="C414" t="str">
            <v>Resorte de embrague tourex</v>
          </cell>
          <cell r="D414" t="e">
            <v>#N/A</v>
          </cell>
          <cell r="E414">
            <v>20</v>
          </cell>
        </row>
        <row r="415">
          <cell r="C415" t="str">
            <v>PASTILLAS REVERSIBLE</v>
          </cell>
          <cell r="D415" t="e">
            <v>#N/A</v>
          </cell>
          <cell r="E415">
            <v>30</v>
          </cell>
        </row>
        <row r="416">
          <cell r="C416" t="str">
            <v xml:space="preserve">JUNTAS </v>
          </cell>
          <cell r="D416" t="e">
            <v>#N/A</v>
          </cell>
          <cell r="E416">
            <v>5</v>
          </cell>
        </row>
        <row r="417">
          <cell r="C417" t="str">
            <v>eje de carburador</v>
          </cell>
          <cell r="D417" t="e">
            <v>#N/A</v>
          </cell>
          <cell r="E417">
            <v>15</v>
          </cell>
        </row>
        <row r="418">
          <cell r="C418" t="str">
            <v>MANGUERA DE NAFTA</v>
          </cell>
          <cell r="D418" t="e">
            <v>#N/A</v>
          </cell>
          <cell r="E418">
            <v>15</v>
          </cell>
        </row>
        <row r="419">
          <cell r="C419" t="str">
            <v>INSULADOR PLASTICO</v>
          </cell>
          <cell r="D419" t="e">
            <v>#N/A</v>
          </cell>
          <cell r="E419">
            <v>30</v>
          </cell>
        </row>
        <row r="420">
          <cell r="C420" t="str">
            <v>INSULADOR SCS</v>
          </cell>
          <cell r="D420" t="e">
            <v>#N/A</v>
          </cell>
          <cell r="E420">
            <v>50</v>
          </cell>
        </row>
        <row r="421">
          <cell r="C421" t="str">
            <v>RECUPERADOR HR</v>
          </cell>
          <cell r="D421" t="e">
            <v>#N/A</v>
          </cell>
          <cell r="E421">
            <v>55</v>
          </cell>
        </row>
        <row r="422">
          <cell r="C422" t="str">
            <v>KIT RULEMANES COMPLETO</v>
          </cell>
        </row>
        <row r="423">
          <cell r="C423" t="str">
            <v>Genius airbox</v>
          </cell>
          <cell r="E423">
            <v>200</v>
          </cell>
        </row>
        <row r="424">
          <cell r="C424" t="str">
            <v xml:space="preserve">LIGHTSCLALE </v>
          </cell>
          <cell r="E424">
            <v>200</v>
          </cell>
        </row>
        <row r="425">
          <cell r="A425" t="str">
            <v>V001</v>
          </cell>
          <cell r="C425" t="str">
            <v>EVITASOLDADURAS</v>
          </cell>
          <cell r="E425">
            <v>10</v>
          </cell>
        </row>
        <row r="426">
          <cell r="A426" t="str">
            <v>V002</v>
          </cell>
          <cell r="C426" t="str">
            <v>VARILLA DE ACELERADOR</v>
          </cell>
          <cell r="E426">
            <v>10</v>
          </cell>
        </row>
        <row r="427">
          <cell r="C427" t="str">
            <v>SAMBA 8</v>
          </cell>
          <cell r="E427">
            <v>500</v>
          </cell>
        </row>
        <row r="428">
          <cell r="A428" t="str">
            <v>E001</v>
          </cell>
          <cell r="C428" t="str">
            <v>KIT 230</v>
          </cell>
          <cell r="E428">
            <v>330</v>
          </cell>
        </row>
        <row r="429">
          <cell r="A429" t="str">
            <v>E002</v>
          </cell>
          <cell r="C429" t="str">
            <v>Reparacion de carburador</v>
          </cell>
          <cell r="E429">
            <v>5</v>
          </cell>
        </row>
        <row r="430">
          <cell r="C430" t="str">
            <v>CARBURADOR  603</v>
          </cell>
          <cell r="E430">
            <v>170</v>
          </cell>
        </row>
        <row r="431">
          <cell r="C431" t="str">
            <v>Calentador de gomas markus</v>
          </cell>
          <cell r="E431">
            <v>200</v>
          </cell>
        </row>
        <row r="432">
          <cell r="C432" t="str">
            <v>ALFA 1MM</v>
          </cell>
          <cell r="E432">
            <v>1000</v>
          </cell>
        </row>
        <row r="433">
          <cell r="C433" t="str">
            <v xml:space="preserve">BMW M3 </v>
          </cell>
          <cell r="E433">
            <v>1000</v>
          </cell>
        </row>
        <row r="434">
          <cell r="C434" t="str">
            <v>BMW KILLAM</v>
          </cell>
          <cell r="E434">
            <v>1000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3"/>
  <sheetViews>
    <sheetView tabSelected="1" workbookViewId="0">
      <selection activeCell="F5" sqref="F5"/>
    </sheetView>
  </sheetViews>
  <sheetFormatPr defaultRowHeight="15" x14ac:dyDescent="0.25"/>
  <cols>
    <col min="1" max="1" width="14.140625" style="5" customWidth="1"/>
    <col min="2" max="2" width="45.140625" style="6" customWidth="1"/>
    <col min="3" max="3" width="31.28515625" style="6" customWidth="1"/>
    <col min="4" max="4" width="14.42578125" style="5" customWidth="1"/>
    <col min="5" max="5" width="16.7109375" style="5" customWidth="1"/>
    <col min="6" max="6" width="22.28515625" style="5" customWidth="1"/>
    <col min="7" max="7" width="15.140625" style="10" customWidth="1"/>
    <col min="8" max="8" width="15" style="10" customWidth="1"/>
    <col min="9" max="9" width="15" style="5" customWidth="1"/>
    <col min="10" max="10" width="12.42578125" style="10" customWidth="1"/>
    <col min="11" max="11" width="17.140625" style="9" customWidth="1"/>
    <col min="12" max="12" width="10.5703125" style="10" customWidth="1"/>
    <col min="13" max="13" width="17.140625" style="5" customWidth="1"/>
    <col min="14" max="16384" width="9.140625" style="5"/>
  </cols>
  <sheetData>
    <row r="1" spans="1:13" s="2" customFormat="1" x14ac:dyDescent="0.25">
      <c r="A1" s="2" t="s">
        <v>0</v>
      </c>
      <c r="B1" s="3" t="s">
        <v>569</v>
      </c>
      <c r="C1" s="3" t="s">
        <v>768</v>
      </c>
      <c r="D1" s="2" t="s">
        <v>3</v>
      </c>
      <c r="E1" s="2" t="s">
        <v>1</v>
      </c>
      <c r="F1" s="2" t="s">
        <v>2</v>
      </c>
      <c r="G1" s="10" t="s">
        <v>571</v>
      </c>
      <c r="H1" s="10" t="s">
        <v>577</v>
      </c>
      <c r="I1" s="2" t="s">
        <v>572</v>
      </c>
      <c r="J1" s="10" t="s">
        <v>573</v>
      </c>
      <c r="K1" s="4" t="s">
        <v>574</v>
      </c>
      <c r="L1" s="10" t="s">
        <v>575</v>
      </c>
      <c r="M1" s="2" t="s">
        <v>576</v>
      </c>
    </row>
    <row r="2" spans="1:13" ht="45" x14ac:dyDescent="0.25">
      <c r="A2" s="5" t="s">
        <v>4</v>
      </c>
      <c r="B2" s="6" t="s">
        <v>5</v>
      </c>
      <c r="C2" s="6" t="e">
        <f>VLOOKUP(A2,'[1]PRECIOS NUEVOS'!$A:$C,3,0)</f>
        <v>#N/A</v>
      </c>
      <c r="D2" s="5" t="s">
        <v>6</v>
      </c>
      <c r="E2" s="7">
        <v>1883</v>
      </c>
      <c r="F2" s="8">
        <v>2670</v>
      </c>
      <c r="G2" s="11">
        <v>0.17</v>
      </c>
      <c r="H2" s="11">
        <v>0.12</v>
      </c>
      <c r="I2" s="8">
        <f>E2*(1+G2+H2)</f>
        <v>2429.0700000000002</v>
      </c>
      <c r="J2" s="10">
        <v>1.1499999999999999</v>
      </c>
      <c r="K2" s="9">
        <f>I2*J2</f>
        <v>2793.4304999999999</v>
      </c>
      <c r="L2" s="11">
        <v>0.1</v>
      </c>
      <c r="M2" s="15">
        <f t="shared" ref="M2:M65" si="0">K2*(1+L2)</f>
        <v>3072.7735500000003</v>
      </c>
    </row>
    <row r="3" spans="1:13" ht="45" x14ac:dyDescent="0.25">
      <c r="A3" s="5" t="s">
        <v>7</v>
      </c>
      <c r="B3" s="6" t="s">
        <v>8</v>
      </c>
      <c r="C3" s="6" t="str">
        <f>VLOOKUP(A3,'[1]PRECIOS NUEVOS'!$A:$C,3,0)</f>
        <v>auto full</v>
      </c>
      <c r="D3" s="5" t="s">
        <v>6</v>
      </c>
      <c r="E3" s="7">
        <v>1883</v>
      </c>
      <c r="F3" s="7">
        <v>2670</v>
      </c>
      <c r="G3" s="11">
        <v>0.17</v>
      </c>
      <c r="H3" s="11">
        <v>0.12</v>
      </c>
      <c r="I3" s="8">
        <f t="shared" ref="I3:I66" si="1">E3*(1+G3+H3)</f>
        <v>2429.0700000000002</v>
      </c>
      <c r="J3" s="10">
        <v>1.1499999999999999</v>
      </c>
      <c r="K3" s="9">
        <f t="shared" ref="K3:K66" si="2">I3*J3</f>
        <v>2793.4304999999999</v>
      </c>
      <c r="L3" s="11">
        <v>0.1</v>
      </c>
      <c r="M3" s="15">
        <f t="shared" si="0"/>
        <v>3072.7735500000003</v>
      </c>
    </row>
    <row r="4" spans="1:13" x14ac:dyDescent="0.25">
      <c r="A4" s="5" t="s">
        <v>9</v>
      </c>
      <c r="B4" s="6" t="s">
        <v>10</v>
      </c>
      <c r="C4" s="6" t="str">
        <f>VLOOKUP(A4,'[1]PRECIOS NUEVOS'!$A:$C,3,0)</f>
        <v>bumper completo</v>
      </c>
      <c r="D4" s="5">
        <v>1</v>
      </c>
      <c r="E4" s="5">
        <v>18.149999999999999</v>
      </c>
      <c r="F4" s="5">
        <v>32</v>
      </c>
      <c r="G4" s="11">
        <v>0.17</v>
      </c>
      <c r="H4" s="11">
        <v>0.12</v>
      </c>
      <c r="I4" s="8">
        <f t="shared" si="1"/>
        <v>23.413499999999999</v>
      </c>
      <c r="J4" s="10">
        <v>1.1499999999999999</v>
      </c>
      <c r="K4" s="9">
        <f t="shared" si="2"/>
        <v>26.925524999999997</v>
      </c>
      <c r="L4" s="11">
        <v>0.1</v>
      </c>
      <c r="M4" s="15">
        <f t="shared" si="0"/>
        <v>29.618077499999998</v>
      </c>
    </row>
    <row r="5" spans="1:13" x14ac:dyDescent="0.25">
      <c r="A5" s="5" t="s">
        <v>11</v>
      </c>
      <c r="B5" s="6" t="s">
        <v>12</v>
      </c>
      <c r="C5" s="6" t="str">
        <f>VLOOKUP(A5,'[1]PRECIOS NUEVOS'!$A:$C,3,0)</f>
        <v>plastico del bumper (solo)</v>
      </c>
      <c r="D5" s="5">
        <v>1</v>
      </c>
      <c r="E5" s="5">
        <v>10.5</v>
      </c>
      <c r="F5" s="5">
        <v>18.5</v>
      </c>
      <c r="G5" s="11">
        <v>0.17</v>
      </c>
      <c r="H5" s="11">
        <v>0.12</v>
      </c>
      <c r="I5" s="8">
        <f t="shared" si="1"/>
        <v>13.545</v>
      </c>
      <c r="J5" s="10">
        <v>1.1499999999999999</v>
      </c>
      <c r="K5" s="9">
        <f t="shared" si="2"/>
        <v>15.576749999999999</v>
      </c>
      <c r="L5" s="11">
        <v>0.1</v>
      </c>
      <c r="M5" s="15">
        <f t="shared" si="0"/>
        <v>17.134425</v>
      </c>
    </row>
    <row r="6" spans="1:13" x14ac:dyDescent="0.25">
      <c r="A6" s="5" t="s">
        <v>13</v>
      </c>
      <c r="B6" s="6" t="s">
        <v>14</v>
      </c>
      <c r="C6" s="6" t="str">
        <f>VLOOKUP(A6,'[1]PRECIOS NUEVOS'!$A:$C,3,0)</f>
        <v>palito de bumper</v>
      </c>
      <c r="D6" s="5">
        <v>1</v>
      </c>
      <c r="E6" s="5">
        <v>2.75</v>
      </c>
      <c r="F6" s="5">
        <v>5</v>
      </c>
      <c r="G6" s="11">
        <v>0.17</v>
      </c>
      <c r="H6" s="11">
        <v>0.12</v>
      </c>
      <c r="I6" s="8">
        <f t="shared" si="1"/>
        <v>3.5475000000000003</v>
      </c>
      <c r="J6" s="10">
        <v>1.1499999999999999</v>
      </c>
      <c r="K6" s="9">
        <f t="shared" si="2"/>
        <v>4.0796250000000001</v>
      </c>
      <c r="L6" s="11">
        <v>0.1</v>
      </c>
      <c r="M6" s="15">
        <f t="shared" si="0"/>
        <v>4.4875875000000001</v>
      </c>
    </row>
    <row r="7" spans="1:13" x14ac:dyDescent="0.25">
      <c r="A7" s="5" t="s">
        <v>15</v>
      </c>
      <c r="B7" s="6" t="s">
        <v>16</v>
      </c>
      <c r="C7" s="6" t="str">
        <f>VLOOKUP(A7,'[1]PRECIOS NUEVOS'!$A:$C,3,0)</f>
        <v>goma del bumper</v>
      </c>
      <c r="D7" s="5">
        <v>1</v>
      </c>
      <c r="E7" s="5">
        <v>8</v>
      </c>
      <c r="F7" s="5">
        <v>15</v>
      </c>
      <c r="G7" s="11">
        <v>0.17</v>
      </c>
      <c r="H7" s="11">
        <v>0.12</v>
      </c>
      <c r="I7" s="8">
        <f t="shared" si="1"/>
        <v>10.32</v>
      </c>
      <c r="J7" s="10">
        <v>1.1499999999999999</v>
      </c>
      <c r="K7" s="9">
        <f t="shared" si="2"/>
        <v>11.867999999999999</v>
      </c>
      <c r="L7" s="11">
        <v>0.1</v>
      </c>
      <c r="M7" s="15">
        <f t="shared" si="0"/>
        <v>13.0548</v>
      </c>
    </row>
    <row r="8" spans="1:13" x14ac:dyDescent="0.25">
      <c r="A8" s="5" t="s">
        <v>17</v>
      </c>
      <c r="B8" s="6" t="s">
        <v>18</v>
      </c>
      <c r="C8" s="6" t="str">
        <f>VLOOKUP(A8,'[1]PRECIOS NUEVOS'!$A:$C,3,0)</f>
        <v>plasticos del bumper</v>
      </c>
      <c r="D8" s="5">
        <v>2</v>
      </c>
      <c r="E8" s="5">
        <v>4</v>
      </c>
      <c r="F8" s="5">
        <v>7.5</v>
      </c>
      <c r="G8" s="11">
        <v>0.17</v>
      </c>
      <c r="H8" s="11">
        <v>0.12</v>
      </c>
      <c r="I8" s="8">
        <f t="shared" si="1"/>
        <v>5.16</v>
      </c>
      <c r="J8" s="10">
        <v>1.1499999999999999</v>
      </c>
      <c r="K8" s="9">
        <f t="shared" si="2"/>
        <v>5.9339999999999993</v>
      </c>
      <c r="L8" s="11">
        <v>0.1</v>
      </c>
      <c r="M8" s="15">
        <f t="shared" si="0"/>
        <v>6.5274000000000001</v>
      </c>
    </row>
    <row r="9" spans="1:13" x14ac:dyDescent="0.25">
      <c r="A9" s="5" t="s">
        <v>19</v>
      </c>
      <c r="B9" s="6" t="s">
        <v>20</v>
      </c>
      <c r="C9" s="6" t="str">
        <f>VLOOKUP(A9,'[1]PRECIOS NUEVOS'!$A:$C,3,0)</f>
        <v>ganchitos</v>
      </c>
      <c r="D9" s="5">
        <v>10</v>
      </c>
      <c r="E9" s="5">
        <v>2.7</v>
      </c>
      <c r="F9" s="5">
        <v>5</v>
      </c>
      <c r="G9" s="11">
        <v>0.17</v>
      </c>
      <c r="H9" s="11">
        <v>0.12</v>
      </c>
      <c r="I9" s="8">
        <f t="shared" si="1"/>
        <v>3.4830000000000005</v>
      </c>
      <c r="J9" s="10">
        <v>1.1499999999999999</v>
      </c>
      <c r="K9" s="9">
        <f t="shared" si="2"/>
        <v>4.0054500000000006</v>
      </c>
      <c r="L9" s="11">
        <v>0.1</v>
      </c>
      <c r="M9" s="15">
        <f t="shared" si="0"/>
        <v>4.4059950000000008</v>
      </c>
    </row>
    <row r="10" spans="1:13" x14ac:dyDescent="0.25">
      <c r="A10" s="5" t="s">
        <v>21</v>
      </c>
      <c r="B10" s="6" t="s">
        <v>22</v>
      </c>
      <c r="C10" s="6" t="str">
        <f>VLOOKUP(A10,'[1]PRECIOS NUEVOS'!$A:$C,3,0)</f>
        <v>tornillos del bumper</v>
      </c>
      <c r="D10" s="5">
        <v>9</v>
      </c>
      <c r="E10" s="5">
        <v>1.65</v>
      </c>
      <c r="F10" s="5">
        <v>3.8</v>
      </c>
      <c r="G10" s="11">
        <v>0.17</v>
      </c>
      <c r="H10" s="11">
        <v>0.12</v>
      </c>
      <c r="I10" s="8">
        <f t="shared" si="1"/>
        <v>2.1284999999999998</v>
      </c>
      <c r="J10" s="10">
        <v>1.1499999999999999</v>
      </c>
      <c r="K10" s="9">
        <f t="shared" si="2"/>
        <v>2.4477749999999996</v>
      </c>
      <c r="L10" s="11">
        <v>0.1</v>
      </c>
      <c r="M10" s="15">
        <f t="shared" si="0"/>
        <v>2.6925524999999997</v>
      </c>
    </row>
    <row r="11" spans="1:13" x14ac:dyDescent="0.25">
      <c r="A11" s="5" t="s">
        <v>23</v>
      </c>
      <c r="B11" s="6" t="s">
        <v>24</v>
      </c>
      <c r="C11" s="6" t="str">
        <f>VLOOKUP(A11,'[1]PRECIOS NUEVOS'!$A:$C,3,0)</f>
        <v>carbono delantero de carroceria</v>
      </c>
      <c r="D11" s="5">
        <v>1</v>
      </c>
      <c r="E11" s="5">
        <v>12.7</v>
      </c>
      <c r="F11" s="5">
        <v>22</v>
      </c>
      <c r="G11" s="11">
        <v>0.17</v>
      </c>
      <c r="H11" s="11">
        <v>0.12</v>
      </c>
      <c r="I11" s="8">
        <f t="shared" si="1"/>
        <v>16.382999999999999</v>
      </c>
      <c r="J11" s="10">
        <v>1.1499999999999999</v>
      </c>
      <c r="K11" s="9">
        <f t="shared" si="2"/>
        <v>18.840449999999997</v>
      </c>
      <c r="L11" s="11">
        <v>0.1</v>
      </c>
      <c r="M11" s="15">
        <f t="shared" si="0"/>
        <v>20.724494999999997</v>
      </c>
    </row>
    <row r="12" spans="1:13" x14ac:dyDescent="0.25">
      <c r="A12" s="5" t="s">
        <v>25</v>
      </c>
      <c r="B12" s="6" t="s">
        <v>14</v>
      </c>
      <c r="C12" s="6" t="str">
        <f>VLOOKUP(A12,'[1]PRECIOS NUEVOS'!$A:$C,3,0)</f>
        <v>palitos de carroceria delantero</v>
      </c>
      <c r="D12" s="5">
        <v>1</v>
      </c>
      <c r="E12" s="5">
        <v>5</v>
      </c>
      <c r="F12" s="5">
        <v>9.1999999999999993</v>
      </c>
      <c r="G12" s="11">
        <v>0.17</v>
      </c>
      <c r="H12" s="11">
        <v>0.12</v>
      </c>
      <c r="I12" s="8">
        <f t="shared" si="1"/>
        <v>6.45</v>
      </c>
      <c r="J12" s="10">
        <v>1.1499999999999999</v>
      </c>
      <c r="K12" s="9">
        <f t="shared" si="2"/>
        <v>7.4174999999999995</v>
      </c>
      <c r="L12" s="11">
        <v>0.1</v>
      </c>
      <c r="M12" s="15">
        <f t="shared" si="0"/>
        <v>8.1592500000000001</v>
      </c>
    </row>
    <row r="13" spans="1:13" x14ac:dyDescent="0.25">
      <c r="A13" s="5" t="s">
        <v>26</v>
      </c>
      <c r="B13" s="6" t="s">
        <v>27</v>
      </c>
      <c r="C13" s="6">
        <f>VLOOKUP(A13,'[1]PRECIOS NUEVOS'!$A:$C,3,0)</f>
        <v>0</v>
      </c>
      <c r="D13" s="5">
        <v>8</v>
      </c>
      <c r="E13" s="5">
        <v>1.65</v>
      </c>
      <c r="F13" s="5">
        <v>3.8</v>
      </c>
      <c r="G13" s="11">
        <v>0.17</v>
      </c>
      <c r="H13" s="11">
        <v>0.12</v>
      </c>
      <c r="I13" s="8">
        <f t="shared" si="1"/>
        <v>2.1284999999999998</v>
      </c>
      <c r="J13" s="10">
        <v>1.1499999999999999</v>
      </c>
      <c r="K13" s="9">
        <f t="shared" si="2"/>
        <v>2.4477749999999996</v>
      </c>
      <c r="L13" s="11">
        <v>0.1</v>
      </c>
      <c r="M13" s="15">
        <f t="shared" si="0"/>
        <v>2.6925524999999997</v>
      </c>
    </row>
    <row r="14" spans="1:13" x14ac:dyDescent="0.25">
      <c r="A14" s="5" t="s">
        <v>28</v>
      </c>
      <c r="B14" s="6" t="s">
        <v>29</v>
      </c>
      <c r="C14" s="6" t="str">
        <f>VLOOKUP(A14,'[1]PRECIOS NUEVOS'!$A:$C,3,0)</f>
        <v>carbono de union de cuadernas</v>
      </c>
      <c r="D14" s="5">
        <v>1</v>
      </c>
      <c r="E14" s="5">
        <v>15</v>
      </c>
      <c r="F14" s="5">
        <v>26</v>
      </c>
      <c r="G14" s="11">
        <v>0.17</v>
      </c>
      <c r="H14" s="11">
        <v>0.12</v>
      </c>
      <c r="I14" s="8">
        <f t="shared" si="1"/>
        <v>19.350000000000001</v>
      </c>
      <c r="J14" s="10">
        <v>1.1499999999999999</v>
      </c>
      <c r="K14" s="9">
        <f t="shared" si="2"/>
        <v>22.252500000000001</v>
      </c>
      <c r="L14" s="11">
        <v>0.1</v>
      </c>
      <c r="M14" s="15">
        <f t="shared" si="0"/>
        <v>24.477750000000004</v>
      </c>
    </row>
    <row r="15" spans="1:13" x14ac:dyDescent="0.25">
      <c r="A15" s="5" t="s">
        <v>30</v>
      </c>
      <c r="B15" s="6" t="s">
        <v>31</v>
      </c>
      <c r="C15" s="6" t="str">
        <f>VLOOKUP(A15,'[1]PRECIOS NUEVOS'!$A:$C,3,0)</f>
        <v xml:space="preserve">Torreta de amoriguadore delantera vieja </v>
      </c>
      <c r="D15" s="5">
        <v>1</v>
      </c>
      <c r="E15" s="5">
        <v>20</v>
      </c>
      <c r="F15" s="5">
        <v>35</v>
      </c>
      <c r="G15" s="11">
        <v>0.17</v>
      </c>
      <c r="H15" s="11">
        <v>0.12</v>
      </c>
      <c r="I15" s="8">
        <f t="shared" si="1"/>
        <v>25.8</v>
      </c>
      <c r="J15" s="10">
        <v>1.1499999999999999</v>
      </c>
      <c r="K15" s="9">
        <f t="shared" si="2"/>
        <v>29.669999999999998</v>
      </c>
      <c r="L15" s="11">
        <v>0.1</v>
      </c>
      <c r="M15" s="15">
        <f t="shared" si="0"/>
        <v>32.637</v>
      </c>
    </row>
    <row r="16" spans="1:13" x14ac:dyDescent="0.25">
      <c r="A16" s="5" t="s">
        <v>32</v>
      </c>
      <c r="B16" s="6" t="s">
        <v>33</v>
      </c>
      <c r="C16" s="6" t="str">
        <f>VLOOKUP(A16,'[1]PRECIOS NUEVOS'!$A:$C,3,0)</f>
        <v>eje de parrilla superior</v>
      </c>
      <c r="D16" s="5">
        <v>2</v>
      </c>
      <c r="E16" s="5">
        <v>5</v>
      </c>
      <c r="F16" s="5">
        <v>9.1999999999999993</v>
      </c>
      <c r="G16" s="11">
        <v>0.17</v>
      </c>
      <c r="H16" s="11">
        <v>0.12</v>
      </c>
      <c r="I16" s="8">
        <f t="shared" si="1"/>
        <v>6.45</v>
      </c>
      <c r="J16" s="10">
        <v>1.1499999999999999</v>
      </c>
      <c r="K16" s="9">
        <f t="shared" si="2"/>
        <v>7.4174999999999995</v>
      </c>
      <c r="L16" s="11">
        <v>0.1</v>
      </c>
      <c r="M16" s="15">
        <f t="shared" si="0"/>
        <v>8.1592500000000001</v>
      </c>
    </row>
    <row r="17" spans="1:13" x14ac:dyDescent="0.25">
      <c r="A17" s="5" t="s">
        <v>34</v>
      </c>
      <c r="B17" s="6" t="s">
        <v>35</v>
      </c>
      <c r="C17" s="6" t="str">
        <f>VLOOKUP(A17,'[1]PRECIOS NUEVOS'!$A:$C,3,0)</f>
        <v>chapita 0.5</v>
      </c>
      <c r="D17" s="5">
        <v>4</v>
      </c>
      <c r="E17" s="5">
        <v>4.5</v>
      </c>
      <c r="F17" s="5">
        <v>8.5</v>
      </c>
      <c r="G17" s="11">
        <v>0.17</v>
      </c>
      <c r="H17" s="11">
        <v>0.12</v>
      </c>
      <c r="I17" s="8">
        <f t="shared" si="1"/>
        <v>5.8049999999999997</v>
      </c>
      <c r="J17" s="10">
        <v>1.1499999999999999</v>
      </c>
      <c r="K17" s="9">
        <f t="shared" si="2"/>
        <v>6.675749999999999</v>
      </c>
      <c r="L17" s="11">
        <v>0.1</v>
      </c>
      <c r="M17" s="15">
        <f t="shared" si="0"/>
        <v>7.3433249999999992</v>
      </c>
    </row>
    <row r="18" spans="1:13" x14ac:dyDescent="0.25">
      <c r="A18" s="5" t="s">
        <v>36</v>
      </c>
      <c r="B18" s="6" t="s">
        <v>37</v>
      </c>
      <c r="C18" s="6" t="str">
        <f>VLOOKUP(A18,'[1]PRECIOS NUEVOS'!$A:$C,3,0)</f>
        <v>chapita 1</v>
      </c>
      <c r="D18" s="5">
        <v>4</v>
      </c>
      <c r="E18" s="5">
        <v>4.5</v>
      </c>
      <c r="F18" s="5">
        <v>8.5</v>
      </c>
      <c r="G18" s="11">
        <v>0.17</v>
      </c>
      <c r="H18" s="11">
        <v>0.12</v>
      </c>
      <c r="I18" s="8">
        <f t="shared" si="1"/>
        <v>5.8049999999999997</v>
      </c>
      <c r="J18" s="10">
        <v>1.1499999999999999</v>
      </c>
      <c r="K18" s="9">
        <f t="shared" si="2"/>
        <v>6.675749999999999</v>
      </c>
      <c r="L18" s="11">
        <v>0.1</v>
      </c>
      <c r="M18" s="15">
        <f t="shared" si="0"/>
        <v>7.3433249999999992</v>
      </c>
    </row>
    <row r="19" spans="1:13" x14ac:dyDescent="0.25">
      <c r="A19" s="5" t="s">
        <v>38</v>
      </c>
      <c r="B19" s="6" t="s">
        <v>39</v>
      </c>
      <c r="C19" s="6" t="str">
        <f>VLOOKUP(A19,'[1]PRECIOS NUEVOS'!$A:$C,3,0)</f>
        <v>chapita 2</v>
      </c>
      <c r="D19" s="5">
        <v>4</v>
      </c>
      <c r="E19" s="5">
        <v>4.5</v>
      </c>
      <c r="F19" s="5">
        <v>8.5</v>
      </c>
      <c r="G19" s="11">
        <v>0.17</v>
      </c>
      <c r="H19" s="11">
        <v>0.12</v>
      </c>
      <c r="I19" s="8">
        <f t="shared" si="1"/>
        <v>5.8049999999999997</v>
      </c>
      <c r="J19" s="10">
        <v>1.1499999999999999</v>
      </c>
      <c r="K19" s="9">
        <f t="shared" si="2"/>
        <v>6.675749999999999</v>
      </c>
      <c r="L19" s="11">
        <v>0.1</v>
      </c>
      <c r="M19" s="15">
        <f t="shared" si="0"/>
        <v>7.3433249999999992</v>
      </c>
    </row>
    <row r="20" spans="1:13" x14ac:dyDescent="0.25">
      <c r="A20" s="5" t="s">
        <v>40</v>
      </c>
      <c r="B20" s="6" t="s">
        <v>41</v>
      </c>
      <c r="C20" s="6" t="str">
        <f>VLOOKUP(A20,'[1]PRECIOS NUEVOS'!$A:$C,3,0)</f>
        <v>parrilla superior delantera</v>
      </c>
      <c r="D20" s="5">
        <v>1</v>
      </c>
      <c r="E20" s="5">
        <v>27.5</v>
      </c>
      <c r="F20" s="5">
        <v>48</v>
      </c>
      <c r="G20" s="11">
        <v>0.17</v>
      </c>
      <c r="H20" s="11">
        <v>0.12</v>
      </c>
      <c r="I20" s="8">
        <f t="shared" si="1"/>
        <v>35.475000000000001</v>
      </c>
      <c r="J20" s="10">
        <v>1.1499999999999999</v>
      </c>
      <c r="K20" s="9">
        <f t="shared" si="2"/>
        <v>40.796250000000001</v>
      </c>
      <c r="L20" s="11">
        <v>0.1</v>
      </c>
      <c r="M20" s="15">
        <f t="shared" si="0"/>
        <v>44.875875000000008</v>
      </c>
    </row>
    <row r="21" spans="1:13" x14ac:dyDescent="0.25">
      <c r="A21" s="5" t="s">
        <v>42</v>
      </c>
      <c r="B21" s="6" t="s">
        <v>43</v>
      </c>
      <c r="C21" s="6">
        <f>VLOOKUP(A21,'[1]PRECIOS NUEVOS'!$A:$C,3,0)</f>
        <v>0</v>
      </c>
      <c r="D21" s="5">
        <v>8</v>
      </c>
      <c r="E21" s="5">
        <v>1.65</v>
      </c>
      <c r="F21" s="5">
        <v>3.8</v>
      </c>
      <c r="G21" s="11">
        <v>0.17</v>
      </c>
      <c r="H21" s="11">
        <v>0.12</v>
      </c>
      <c r="I21" s="8">
        <f t="shared" si="1"/>
        <v>2.1284999999999998</v>
      </c>
      <c r="J21" s="10">
        <v>1.1499999999999999</v>
      </c>
      <c r="K21" s="9">
        <f t="shared" si="2"/>
        <v>2.4477749999999996</v>
      </c>
      <c r="L21" s="11">
        <v>0.1</v>
      </c>
      <c r="M21" s="15">
        <f t="shared" si="0"/>
        <v>2.6925524999999997</v>
      </c>
    </row>
    <row r="22" spans="1:13" x14ac:dyDescent="0.25">
      <c r="A22" s="5" t="s">
        <v>44</v>
      </c>
      <c r="B22" s="6" t="s">
        <v>45</v>
      </c>
      <c r="C22" s="6" t="str">
        <f>VLOOKUP(A22,'[1]PRECIOS NUEVOS'!$A:$C,3,0)</f>
        <v>rotula aluminio sin bola</v>
      </c>
      <c r="D22" s="5">
        <v>1</v>
      </c>
      <c r="E22" s="5">
        <v>13</v>
      </c>
      <c r="F22" s="5">
        <v>22.5</v>
      </c>
      <c r="G22" s="11">
        <v>0.17</v>
      </c>
      <c r="H22" s="11">
        <v>0.12</v>
      </c>
      <c r="I22" s="8">
        <f t="shared" si="1"/>
        <v>16.77</v>
      </c>
      <c r="J22" s="10">
        <v>1.1499999999999999</v>
      </c>
      <c r="K22" s="9">
        <f t="shared" si="2"/>
        <v>19.285499999999999</v>
      </c>
      <c r="L22" s="11">
        <v>0.1</v>
      </c>
      <c r="M22" s="15">
        <f t="shared" si="0"/>
        <v>21.21405</v>
      </c>
    </row>
    <row r="23" spans="1:13" x14ac:dyDescent="0.25">
      <c r="A23" s="5" t="s">
        <v>46</v>
      </c>
      <c r="B23" s="6" t="s">
        <v>47</v>
      </c>
      <c r="C23" s="6">
        <f>VLOOKUP(A23,'[1]PRECIOS NUEVOS'!$A:$C,3,0)</f>
        <v>0</v>
      </c>
      <c r="D23" s="5">
        <v>4</v>
      </c>
      <c r="E23" s="5">
        <v>2</v>
      </c>
      <c r="F23" s="5">
        <v>3.7</v>
      </c>
      <c r="G23" s="11">
        <v>0.17</v>
      </c>
      <c r="H23" s="11">
        <v>0.12</v>
      </c>
      <c r="I23" s="8">
        <f t="shared" si="1"/>
        <v>2.58</v>
      </c>
      <c r="J23" s="10">
        <v>1.1499999999999999</v>
      </c>
      <c r="K23" s="9">
        <f t="shared" si="2"/>
        <v>2.9669999999999996</v>
      </c>
      <c r="L23" s="11">
        <v>0.1</v>
      </c>
      <c r="M23" s="15">
        <f t="shared" si="0"/>
        <v>3.2637</v>
      </c>
    </row>
    <row r="24" spans="1:13" x14ac:dyDescent="0.25">
      <c r="A24" s="5" t="s">
        <v>48</v>
      </c>
      <c r="B24" s="6" t="s">
        <v>49</v>
      </c>
      <c r="C24" s="6" t="str">
        <f>VLOOKUP(A24,'[1]PRECIOS NUEVOS'!$A:$C,3,0)</f>
        <v>chapitas de avance- caster</v>
      </c>
      <c r="D24" s="5">
        <v>10</v>
      </c>
      <c r="E24" s="5">
        <v>5.6</v>
      </c>
      <c r="F24" s="5">
        <v>10.5</v>
      </c>
      <c r="G24" s="11">
        <v>0.17</v>
      </c>
      <c r="H24" s="11">
        <v>0.12</v>
      </c>
      <c r="I24" s="8">
        <f t="shared" si="1"/>
        <v>7.2239999999999993</v>
      </c>
      <c r="J24" s="10">
        <v>1.1499999999999999</v>
      </c>
      <c r="K24" s="9">
        <f t="shared" si="2"/>
        <v>8.307599999999999</v>
      </c>
      <c r="L24" s="11">
        <v>0.1</v>
      </c>
      <c r="M24" s="15">
        <f t="shared" si="0"/>
        <v>9.1383600000000005</v>
      </c>
    </row>
    <row r="25" spans="1:13" x14ac:dyDescent="0.25">
      <c r="A25" s="5" t="s">
        <v>50</v>
      </c>
      <c r="B25" s="6" t="s">
        <v>51</v>
      </c>
      <c r="C25" s="6" t="str">
        <f>VLOOKUP(A25,'[1]PRECIOS NUEVOS'!$A:$C,3,0)</f>
        <v>tornillo de masa</v>
      </c>
      <c r="D25" s="5">
        <v>2</v>
      </c>
      <c r="E25" s="5">
        <v>3.5</v>
      </c>
      <c r="F25" s="5">
        <v>6.5</v>
      </c>
      <c r="G25" s="11">
        <v>0.17</v>
      </c>
      <c r="H25" s="11">
        <v>0.12</v>
      </c>
      <c r="I25" s="8">
        <f t="shared" si="1"/>
        <v>4.5150000000000006</v>
      </c>
      <c r="J25" s="10">
        <v>1.1499999999999999</v>
      </c>
      <c r="K25" s="9">
        <f t="shared" si="2"/>
        <v>5.1922500000000005</v>
      </c>
      <c r="L25" s="11">
        <v>0.1</v>
      </c>
      <c r="M25" s="15">
        <f t="shared" si="0"/>
        <v>5.711475000000001</v>
      </c>
    </row>
    <row r="26" spans="1:13" ht="30" x14ac:dyDescent="0.25">
      <c r="A26" s="5" t="s">
        <v>52</v>
      </c>
      <c r="B26" s="6" t="s">
        <v>53</v>
      </c>
      <c r="C26" s="6" t="str">
        <f>VLOOKUP(A26,'[1]PRECIOS NUEVOS'!$A:$C,3,0)</f>
        <v>masa VIEJA . parece la nueva pero no</v>
      </c>
      <c r="D26" s="5">
        <v>1</v>
      </c>
      <c r="E26" s="5">
        <v>32.5</v>
      </c>
      <c r="F26" s="5">
        <v>56.5</v>
      </c>
      <c r="G26" s="11">
        <v>0.17</v>
      </c>
      <c r="H26" s="11">
        <v>0.12</v>
      </c>
      <c r="I26" s="8">
        <f t="shared" si="1"/>
        <v>41.925000000000004</v>
      </c>
      <c r="J26" s="10">
        <v>1.1499999999999999</v>
      </c>
      <c r="K26" s="9">
        <f t="shared" si="2"/>
        <v>48.213750000000005</v>
      </c>
      <c r="L26" s="11">
        <v>0.1</v>
      </c>
      <c r="M26" s="15">
        <f t="shared" si="0"/>
        <v>53.035125000000008</v>
      </c>
    </row>
    <row r="27" spans="1:13" ht="30" x14ac:dyDescent="0.25">
      <c r="A27" s="5" t="s">
        <v>54</v>
      </c>
      <c r="B27" s="6" t="s">
        <v>55</v>
      </c>
      <c r="C27" s="6" t="str">
        <f>VLOOKUP(A27,'[1]PRECIOS NUEVOS'!$A:$C,3,0)</f>
        <v>brazo de direccion izquierdo (ackermann)</v>
      </c>
      <c r="D27" s="5">
        <v>1</v>
      </c>
      <c r="E27" s="5">
        <v>16.5</v>
      </c>
      <c r="F27" s="5">
        <v>29</v>
      </c>
      <c r="G27" s="11">
        <v>0.17</v>
      </c>
      <c r="H27" s="11">
        <v>0.12</v>
      </c>
      <c r="I27" s="8">
        <f t="shared" si="1"/>
        <v>21.285</v>
      </c>
      <c r="J27" s="10">
        <v>1.1499999999999999</v>
      </c>
      <c r="K27" s="9">
        <f t="shared" si="2"/>
        <v>24.477749999999997</v>
      </c>
      <c r="L27" s="11">
        <v>0.1</v>
      </c>
      <c r="M27" s="15">
        <f t="shared" si="0"/>
        <v>26.925525</v>
      </c>
    </row>
    <row r="28" spans="1:13" ht="30" x14ac:dyDescent="0.25">
      <c r="A28" s="5" t="s">
        <v>56</v>
      </c>
      <c r="B28" s="6" t="s">
        <v>57</v>
      </c>
      <c r="C28" s="6" t="str">
        <f>VLOOKUP(A28,'[1]PRECIOS NUEVOS'!$A:$C,3,0)</f>
        <v>brazo de direccion derecho (ackermann)</v>
      </c>
      <c r="D28" s="5">
        <v>1</v>
      </c>
      <c r="E28" s="5">
        <v>16.5</v>
      </c>
      <c r="F28" s="5">
        <v>29</v>
      </c>
      <c r="G28" s="11">
        <v>0.17</v>
      </c>
      <c r="H28" s="11">
        <v>0.12</v>
      </c>
      <c r="I28" s="8">
        <f t="shared" si="1"/>
        <v>21.285</v>
      </c>
      <c r="J28" s="10">
        <v>1.1499999999999999</v>
      </c>
      <c r="K28" s="9">
        <f t="shared" si="2"/>
        <v>24.477749999999997</v>
      </c>
      <c r="L28" s="11">
        <v>0.1</v>
      </c>
      <c r="M28" s="15">
        <f t="shared" si="0"/>
        <v>26.925525</v>
      </c>
    </row>
    <row r="29" spans="1:13" x14ac:dyDescent="0.25">
      <c r="A29" s="5" t="s">
        <v>58</v>
      </c>
      <c r="B29" s="6" t="s">
        <v>59</v>
      </c>
      <c r="C29" s="6">
        <f>VLOOKUP(A29,'[1]PRECIOS NUEVOS'!$A:$C,3,0)</f>
        <v>0</v>
      </c>
      <c r="D29" s="5">
        <v>8</v>
      </c>
      <c r="E29" s="5">
        <v>1.65</v>
      </c>
      <c r="F29" s="5">
        <v>3.8</v>
      </c>
      <c r="G29" s="11">
        <v>0.17</v>
      </c>
      <c r="H29" s="11">
        <v>0.12</v>
      </c>
      <c r="I29" s="8">
        <f t="shared" si="1"/>
        <v>2.1284999999999998</v>
      </c>
      <c r="J29" s="10">
        <v>1.1499999999999999</v>
      </c>
      <c r="K29" s="9">
        <f t="shared" si="2"/>
        <v>2.4477749999999996</v>
      </c>
      <c r="L29" s="11">
        <v>0.1</v>
      </c>
      <c r="M29" s="15">
        <f t="shared" si="0"/>
        <v>2.6925524999999997</v>
      </c>
    </row>
    <row r="30" spans="1:13" x14ac:dyDescent="0.25">
      <c r="A30" s="5" t="s">
        <v>60</v>
      </c>
      <c r="B30" s="6" t="s">
        <v>61</v>
      </c>
      <c r="C30" s="6" t="str">
        <f>VLOOKUP(A30,'[1]PRECIOS NUEVOS'!$A:$C,3,0)</f>
        <v xml:space="preserve">rodamiento </v>
      </c>
      <c r="D30" s="5">
        <v>1</v>
      </c>
      <c r="E30" s="5">
        <v>4</v>
      </c>
      <c r="F30" s="5">
        <v>7.5</v>
      </c>
      <c r="G30" s="11">
        <v>0.17</v>
      </c>
      <c r="H30" s="11">
        <v>0.12</v>
      </c>
      <c r="I30" s="8">
        <f t="shared" si="1"/>
        <v>5.16</v>
      </c>
      <c r="J30" s="10">
        <v>1.1499999999999999</v>
      </c>
      <c r="K30" s="9">
        <f t="shared" si="2"/>
        <v>5.9339999999999993</v>
      </c>
      <c r="L30" s="11">
        <v>0.1</v>
      </c>
      <c r="M30" s="15">
        <f t="shared" si="0"/>
        <v>6.5274000000000001</v>
      </c>
    </row>
    <row r="31" spans="1:13" x14ac:dyDescent="0.25">
      <c r="A31" s="5" t="s">
        <v>62</v>
      </c>
      <c r="B31" s="6" t="s">
        <v>63</v>
      </c>
      <c r="C31" s="6" t="str">
        <f>VLOOKUP(A31,'[1]PRECIOS NUEVOS'!$A:$C,3,0)</f>
        <v>eje de rueda</v>
      </c>
      <c r="D31" s="5">
        <v>1</v>
      </c>
      <c r="E31" s="5">
        <v>6</v>
      </c>
      <c r="F31" s="5">
        <v>11</v>
      </c>
      <c r="G31" s="11">
        <v>0.17</v>
      </c>
      <c r="H31" s="11">
        <v>0.12</v>
      </c>
      <c r="I31" s="8">
        <f t="shared" si="1"/>
        <v>7.74</v>
      </c>
      <c r="J31" s="10">
        <v>1.1499999999999999</v>
      </c>
      <c r="K31" s="9">
        <f t="shared" si="2"/>
        <v>8.9009999999999998</v>
      </c>
      <c r="L31" s="11">
        <v>0.1</v>
      </c>
      <c r="M31" s="15">
        <f t="shared" si="0"/>
        <v>9.7911000000000001</v>
      </c>
    </row>
    <row r="32" spans="1:13" x14ac:dyDescent="0.25">
      <c r="A32" s="5" t="s">
        <v>64</v>
      </c>
      <c r="B32" s="6" t="s">
        <v>65</v>
      </c>
      <c r="C32" s="6" t="str">
        <f>VLOOKUP(A32,'[1]PRECIOS NUEVOS'!$A:$C,3,0)</f>
        <v>tuerca de rueda</v>
      </c>
      <c r="D32" s="5">
        <v>4</v>
      </c>
      <c r="E32" s="5">
        <v>2.1</v>
      </c>
      <c r="F32" s="5">
        <v>4</v>
      </c>
      <c r="G32" s="11">
        <v>0.17</v>
      </c>
      <c r="H32" s="11">
        <v>0.12</v>
      </c>
      <c r="I32" s="8">
        <f t="shared" si="1"/>
        <v>2.7090000000000001</v>
      </c>
      <c r="J32" s="10">
        <v>1.1499999999999999</v>
      </c>
      <c r="K32" s="9">
        <f t="shared" si="2"/>
        <v>3.1153499999999998</v>
      </c>
      <c r="L32" s="11">
        <v>0.1</v>
      </c>
      <c r="M32" s="15">
        <f t="shared" si="0"/>
        <v>3.426885</v>
      </c>
    </row>
    <row r="33" spans="1:13" x14ac:dyDescent="0.25">
      <c r="A33" s="5" t="s">
        <v>66</v>
      </c>
      <c r="B33" s="6" t="s">
        <v>67</v>
      </c>
      <c r="C33" s="6" t="str">
        <f>VLOOKUP(A33,'[1]PRECIOS NUEVOS'!$A:$C,3,0)</f>
        <v>cubo de 14 mm</v>
      </c>
      <c r="D33" s="5">
        <v>2</v>
      </c>
      <c r="E33" s="5">
        <v>7.5</v>
      </c>
      <c r="F33" s="5">
        <v>13.8</v>
      </c>
      <c r="G33" s="11">
        <v>0.17</v>
      </c>
      <c r="H33" s="11">
        <v>0.12</v>
      </c>
      <c r="I33" s="8">
        <f t="shared" si="1"/>
        <v>9.6750000000000007</v>
      </c>
      <c r="J33" s="10">
        <v>1.1499999999999999</v>
      </c>
      <c r="K33" s="9">
        <f t="shared" si="2"/>
        <v>11.126250000000001</v>
      </c>
      <c r="L33" s="11">
        <v>0.1</v>
      </c>
      <c r="M33" s="15">
        <f t="shared" si="0"/>
        <v>12.238875000000002</v>
      </c>
    </row>
    <row r="34" spans="1:13" x14ac:dyDescent="0.25">
      <c r="A34" s="5" t="s">
        <v>68</v>
      </c>
      <c r="B34" s="6" t="s">
        <v>69</v>
      </c>
      <c r="C34" s="6" t="str">
        <f>VLOOKUP(A34,'[1]PRECIOS NUEVOS'!$A:$C,3,0)</f>
        <v>cubo de 12.5 mm</v>
      </c>
      <c r="D34" s="5">
        <v>2</v>
      </c>
      <c r="E34" s="5">
        <v>7.5</v>
      </c>
      <c r="F34" s="5">
        <v>13.8</v>
      </c>
      <c r="G34" s="11">
        <v>0.17</v>
      </c>
      <c r="H34" s="11">
        <v>0.12</v>
      </c>
      <c r="I34" s="8">
        <f t="shared" si="1"/>
        <v>9.6750000000000007</v>
      </c>
      <c r="J34" s="10">
        <v>1.1499999999999999</v>
      </c>
      <c r="K34" s="9">
        <f t="shared" si="2"/>
        <v>11.126250000000001</v>
      </c>
      <c r="L34" s="11">
        <v>0.1</v>
      </c>
      <c r="M34" s="15">
        <f t="shared" si="0"/>
        <v>12.238875000000002</v>
      </c>
    </row>
    <row r="35" spans="1:13" x14ac:dyDescent="0.25">
      <c r="A35" s="5" t="s">
        <v>70</v>
      </c>
      <c r="B35" s="6" t="s">
        <v>71</v>
      </c>
      <c r="C35" s="6">
        <f>VLOOKUP(A35,'[1]PRECIOS NUEVOS'!$A:$C,3,0)</f>
        <v>0</v>
      </c>
      <c r="D35" s="5">
        <v>4</v>
      </c>
      <c r="E35" s="5">
        <v>2</v>
      </c>
      <c r="F35" s="5">
        <v>3.7</v>
      </c>
      <c r="G35" s="11">
        <v>0.17</v>
      </c>
      <c r="H35" s="11">
        <v>0.12</v>
      </c>
      <c r="I35" s="8">
        <f t="shared" si="1"/>
        <v>2.58</v>
      </c>
      <c r="J35" s="10">
        <v>1.1499999999999999</v>
      </c>
      <c r="K35" s="9">
        <f t="shared" si="2"/>
        <v>2.9669999999999996</v>
      </c>
      <c r="L35" s="11">
        <v>0.1</v>
      </c>
      <c r="M35" s="15">
        <f t="shared" si="0"/>
        <v>3.2637</v>
      </c>
    </row>
    <row r="36" spans="1:13" x14ac:dyDescent="0.25">
      <c r="A36" s="5" t="s">
        <v>72</v>
      </c>
      <c r="B36" s="6" t="s">
        <v>73</v>
      </c>
      <c r="C36" s="6" t="str">
        <f>VLOOKUP(A36,'[1]PRECIOS NUEVOS'!$A:$C,3,0)</f>
        <v>rodamiento esferico</v>
      </c>
      <c r="D36" s="5">
        <v>2</v>
      </c>
      <c r="E36" s="5">
        <v>14</v>
      </c>
      <c r="F36" s="5">
        <v>24.5</v>
      </c>
      <c r="G36" s="11">
        <v>0.17</v>
      </c>
      <c r="H36" s="11">
        <v>0.12</v>
      </c>
      <c r="I36" s="8">
        <f t="shared" si="1"/>
        <v>18.060000000000002</v>
      </c>
      <c r="J36" s="10">
        <v>1.1499999999999999</v>
      </c>
      <c r="K36" s="9">
        <f t="shared" si="2"/>
        <v>20.769000000000002</v>
      </c>
      <c r="L36" s="11">
        <v>0.1</v>
      </c>
      <c r="M36" s="15">
        <f t="shared" si="0"/>
        <v>22.845900000000004</v>
      </c>
    </row>
    <row r="37" spans="1:13" ht="30" x14ac:dyDescent="0.25">
      <c r="A37" s="5" t="s">
        <v>74</v>
      </c>
      <c r="B37" s="6" t="s">
        <v>75</v>
      </c>
      <c r="C37" s="6" t="str">
        <f>VLOOKUP(A37,'[1]PRECIOS NUEVOS'!$A:$C,3,0)</f>
        <v>tornillos para rotulas que fijan bola</v>
      </c>
      <c r="D37" s="5">
        <v>4</v>
      </c>
      <c r="E37" s="5">
        <v>1.65</v>
      </c>
      <c r="F37" s="5">
        <v>3.8</v>
      </c>
      <c r="G37" s="11">
        <v>0.17</v>
      </c>
      <c r="H37" s="11">
        <v>0.12</v>
      </c>
      <c r="I37" s="8">
        <f t="shared" si="1"/>
        <v>2.1284999999999998</v>
      </c>
      <c r="J37" s="10">
        <v>1.1499999999999999</v>
      </c>
      <c r="K37" s="9">
        <f t="shared" si="2"/>
        <v>2.4477749999999996</v>
      </c>
      <c r="L37" s="11">
        <v>0.1</v>
      </c>
      <c r="M37" s="15">
        <f t="shared" si="0"/>
        <v>2.6925524999999997</v>
      </c>
    </row>
    <row r="38" spans="1:13" x14ac:dyDescent="0.25">
      <c r="A38" s="5" t="s">
        <v>76</v>
      </c>
      <c r="B38" s="6" t="s">
        <v>77</v>
      </c>
      <c r="C38" s="6">
        <f>VLOOKUP(A38,'[1]PRECIOS NUEVOS'!$A:$C,3,0)</f>
        <v>0</v>
      </c>
      <c r="D38" s="5">
        <v>4</v>
      </c>
      <c r="E38" s="5">
        <v>1.65</v>
      </c>
      <c r="F38" s="5">
        <v>3.8</v>
      </c>
      <c r="G38" s="11">
        <v>0.17</v>
      </c>
      <c r="H38" s="11">
        <v>0.12</v>
      </c>
      <c r="I38" s="8">
        <f t="shared" si="1"/>
        <v>2.1284999999999998</v>
      </c>
      <c r="J38" s="10">
        <v>1.1499999999999999</v>
      </c>
      <c r="K38" s="9">
        <f t="shared" si="2"/>
        <v>2.4477749999999996</v>
      </c>
      <c r="L38" s="11">
        <v>0.1</v>
      </c>
      <c r="M38" s="15">
        <f t="shared" si="0"/>
        <v>2.6925524999999997</v>
      </c>
    </row>
    <row r="39" spans="1:13" ht="30" x14ac:dyDescent="0.25">
      <c r="A39" s="5" t="s">
        <v>78</v>
      </c>
      <c r="B39" s="6" t="s">
        <v>79</v>
      </c>
      <c r="C39" s="6" t="str">
        <f>VLOOKUP(A39,'[1]PRECIOS NUEVOS'!$A:$C,3,0)</f>
        <v>soporte inferior barra estabilizadora (posiciones)</v>
      </c>
      <c r="D39" s="5">
        <v>1</v>
      </c>
      <c r="E39" s="5">
        <v>10</v>
      </c>
      <c r="F39" s="5">
        <v>18</v>
      </c>
      <c r="G39" s="11">
        <v>0.17</v>
      </c>
      <c r="H39" s="11">
        <v>0.12</v>
      </c>
      <c r="I39" s="8">
        <f t="shared" si="1"/>
        <v>12.9</v>
      </c>
      <c r="J39" s="10">
        <v>1.1499999999999999</v>
      </c>
      <c r="K39" s="9">
        <f t="shared" si="2"/>
        <v>14.834999999999999</v>
      </c>
      <c r="L39" s="11">
        <v>0.1</v>
      </c>
      <c r="M39" s="15">
        <f t="shared" si="0"/>
        <v>16.3185</v>
      </c>
    </row>
    <row r="40" spans="1:13" x14ac:dyDescent="0.25">
      <c r="A40" s="5" t="s">
        <v>80</v>
      </c>
      <c r="B40" s="6" t="s">
        <v>81</v>
      </c>
      <c r="C40" s="6">
        <f>VLOOKUP(A40,'[1]PRECIOS NUEVOS'!$A:$C,3,0)</f>
        <v>0</v>
      </c>
      <c r="D40" s="5">
        <v>8</v>
      </c>
      <c r="E40" s="5">
        <v>1.65</v>
      </c>
      <c r="F40" s="5">
        <v>3.8</v>
      </c>
      <c r="G40" s="11">
        <v>0.17</v>
      </c>
      <c r="H40" s="11">
        <v>0.12</v>
      </c>
      <c r="I40" s="8">
        <f t="shared" si="1"/>
        <v>2.1284999999999998</v>
      </c>
      <c r="J40" s="10">
        <v>1.1499999999999999</v>
      </c>
      <c r="K40" s="9">
        <f t="shared" si="2"/>
        <v>2.4477749999999996</v>
      </c>
      <c r="L40" s="11">
        <v>0.1</v>
      </c>
      <c r="M40" s="15">
        <f t="shared" si="0"/>
        <v>2.6925524999999997</v>
      </c>
    </row>
    <row r="41" spans="1:13" x14ac:dyDescent="0.25">
      <c r="A41" s="5" t="s">
        <v>82</v>
      </c>
      <c r="B41" s="6" t="s">
        <v>83</v>
      </c>
      <c r="C41" s="6" t="str">
        <f>VLOOKUP(A41,'[1]PRECIOS NUEVOS'!$A:$C,3,0)</f>
        <v>rotula plastica de barra</v>
      </c>
      <c r="D41" s="5">
        <v>2</v>
      </c>
      <c r="E41" s="5">
        <v>3</v>
      </c>
      <c r="F41" s="5">
        <v>5.5</v>
      </c>
      <c r="G41" s="11">
        <v>0.17</v>
      </c>
      <c r="H41" s="11">
        <v>0.12</v>
      </c>
      <c r="I41" s="8">
        <f t="shared" si="1"/>
        <v>3.87</v>
      </c>
      <c r="J41" s="10">
        <v>1.1499999999999999</v>
      </c>
      <c r="K41" s="9">
        <f t="shared" si="2"/>
        <v>4.4504999999999999</v>
      </c>
      <c r="L41" s="11">
        <v>0.1</v>
      </c>
      <c r="M41" s="15">
        <f t="shared" si="0"/>
        <v>4.8955500000000001</v>
      </c>
    </row>
    <row r="42" spans="1:13" x14ac:dyDescent="0.25">
      <c r="A42" s="5" t="s">
        <v>84</v>
      </c>
      <c r="B42" s="6" t="s">
        <v>85</v>
      </c>
      <c r="C42" s="6" t="str">
        <f>VLOOKUP(A42,'[1]PRECIOS NUEVOS'!$A:$C,3,0)</f>
        <v>bola inferior de barra</v>
      </c>
      <c r="D42" s="5">
        <v>1</v>
      </c>
      <c r="E42" s="5">
        <v>4</v>
      </c>
      <c r="F42" s="5">
        <v>7.5</v>
      </c>
      <c r="G42" s="11">
        <v>0.17</v>
      </c>
      <c r="H42" s="11">
        <v>0.12</v>
      </c>
      <c r="I42" s="8">
        <f t="shared" si="1"/>
        <v>5.16</v>
      </c>
      <c r="J42" s="10">
        <v>1.1499999999999999</v>
      </c>
      <c r="K42" s="9">
        <f t="shared" si="2"/>
        <v>5.9339999999999993</v>
      </c>
      <c r="L42" s="11">
        <v>0.1</v>
      </c>
      <c r="M42" s="15">
        <f t="shared" si="0"/>
        <v>6.5274000000000001</v>
      </c>
    </row>
    <row r="43" spans="1:13" x14ac:dyDescent="0.25">
      <c r="A43" s="5" t="s">
        <v>86</v>
      </c>
      <c r="B43" s="6" t="s">
        <v>87</v>
      </c>
      <c r="C43" s="6" t="str">
        <f>VLOOKUP(A43,'[1]PRECIOS NUEVOS'!$A:$C,3,0)</f>
        <v>tornillos</v>
      </c>
      <c r="D43" s="5">
        <v>8</v>
      </c>
      <c r="E43" s="5">
        <v>2.2999999999999998</v>
      </c>
      <c r="F43" s="5">
        <v>4.2</v>
      </c>
      <c r="G43" s="11">
        <v>0.17</v>
      </c>
      <c r="H43" s="11">
        <v>0.12</v>
      </c>
      <c r="I43" s="8">
        <f t="shared" si="1"/>
        <v>2.9669999999999996</v>
      </c>
      <c r="J43" s="10">
        <v>1.1499999999999999</v>
      </c>
      <c r="K43" s="9">
        <f t="shared" si="2"/>
        <v>3.4120499999999994</v>
      </c>
      <c r="L43" s="11">
        <v>0.1</v>
      </c>
      <c r="M43" s="15">
        <f t="shared" si="0"/>
        <v>3.7532549999999998</v>
      </c>
    </row>
    <row r="44" spans="1:13" x14ac:dyDescent="0.25">
      <c r="A44" s="5" t="s">
        <v>88</v>
      </c>
      <c r="B44" s="6" t="s">
        <v>89</v>
      </c>
      <c r="C44" s="6" t="str">
        <f>VLOOKUP(A44,'[1]PRECIOS NUEVOS'!$A:$C,3,0)</f>
        <v>derecha izquierda de barra</v>
      </c>
      <c r="D44" s="5">
        <v>1</v>
      </c>
      <c r="E44" s="5">
        <v>4</v>
      </c>
      <c r="F44" s="5">
        <v>7.5</v>
      </c>
      <c r="G44" s="11">
        <v>0.17</v>
      </c>
      <c r="H44" s="11">
        <v>0.12</v>
      </c>
      <c r="I44" s="8">
        <f t="shared" si="1"/>
        <v>5.16</v>
      </c>
      <c r="J44" s="10">
        <v>1.1499999999999999</v>
      </c>
      <c r="K44" s="9">
        <f t="shared" si="2"/>
        <v>5.9339999999999993</v>
      </c>
      <c r="L44" s="11">
        <v>0.1</v>
      </c>
      <c r="M44" s="15">
        <f t="shared" si="0"/>
        <v>6.5274000000000001</v>
      </c>
    </row>
    <row r="45" spans="1:13" ht="30" x14ac:dyDescent="0.25">
      <c r="A45" s="5" t="s">
        <v>90</v>
      </c>
      <c r="B45" s="6" t="s">
        <v>91</v>
      </c>
      <c r="C45" s="6" t="str">
        <f>VLOOKUP(A45,'[1]PRECIOS NUEVOS'!$A:$C,3,0)</f>
        <v>bola para barra vieja . (para acoplar la rotula)</v>
      </c>
      <c r="D45" s="5">
        <v>1</v>
      </c>
      <c r="E45" s="5">
        <v>4</v>
      </c>
      <c r="F45" s="5">
        <v>7.5</v>
      </c>
      <c r="G45" s="11">
        <v>0.17</v>
      </c>
      <c r="H45" s="11">
        <v>0.12</v>
      </c>
      <c r="I45" s="8">
        <f t="shared" si="1"/>
        <v>5.16</v>
      </c>
      <c r="J45" s="10">
        <v>1.1499999999999999</v>
      </c>
      <c r="K45" s="9">
        <f t="shared" si="2"/>
        <v>5.9339999999999993</v>
      </c>
      <c r="L45" s="11">
        <v>0.1</v>
      </c>
      <c r="M45" s="15">
        <f t="shared" si="0"/>
        <v>6.5274000000000001</v>
      </c>
    </row>
    <row r="46" spans="1:13" x14ac:dyDescent="0.25">
      <c r="A46" s="5" t="s">
        <v>92</v>
      </c>
      <c r="B46" s="6" t="s">
        <v>93</v>
      </c>
      <c r="C46" s="6">
        <f>VLOOKUP(A46,'[1]PRECIOS NUEVOS'!$A:$C,3,0)</f>
        <v>0</v>
      </c>
      <c r="D46" s="5">
        <v>6</v>
      </c>
      <c r="E46" s="5">
        <v>2.2999999999999998</v>
      </c>
      <c r="F46" s="5">
        <v>4.2</v>
      </c>
      <c r="G46" s="11">
        <v>0.17</v>
      </c>
      <c r="H46" s="11">
        <v>0.12</v>
      </c>
      <c r="I46" s="8">
        <f t="shared" si="1"/>
        <v>2.9669999999999996</v>
      </c>
      <c r="J46" s="10">
        <v>1.1499999999999999</v>
      </c>
      <c r="K46" s="9">
        <f t="shared" si="2"/>
        <v>3.4120499999999994</v>
      </c>
      <c r="L46" s="11">
        <v>0.1</v>
      </c>
      <c r="M46" s="15">
        <f t="shared" si="0"/>
        <v>3.7532549999999998</v>
      </c>
    </row>
    <row r="47" spans="1:13" ht="45" x14ac:dyDescent="0.25">
      <c r="A47" s="5" t="s">
        <v>94</v>
      </c>
      <c r="B47" s="6" t="s">
        <v>95</v>
      </c>
      <c r="C47" s="6" t="str">
        <f>VLOOKUP(A47,'[1]PRECIOS NUEVOS'!$A:$C,3,0)</f>
        <v>plastico para parrilla de suspensión para que no se gire dont stop</v>
      </c>
      <c r="D47" s="5">
        <v>8</v>
      </c>
      <c r="E47" s="5">
        <v>1.3</v>
      </c>
      <c r="F47" s="5">
        <v>2.4</v>
      </c>
      <c r="G47" s="11">
        <v>0.17</v>
      </c>
      <c r="H47" s="11">
        <v>0.12</v>
      </c>
      <c r="I47" s="8">
        <f t="shared" si="1"/>
        <v>1.677</v>
      </c>
      <c r="J47" s="10">
        <v>1.1499999999999999</v>
      </c>
      <c r="K47" s="9">
        <f t="shared" si="2"/>
        <v>1.92855</v>
      </c>
      <c r="L47" s="11">
        <v>0.1</v>
      </c>
      <c r="M47" s="15">
        <f t="shared" si="0"/>
        <v>2.1214050000000002</v>
      </c>
    </row>
    <row r="48" spans="1:13" x14ac:dyDescent="0.25">
      <c r="A48" s="5" t="s">
        <v>96</v>
      </c>
      <c r="B48" s="6" t="s">
        <v>97</v>
      </c>
      <c r="C48" s="6" t="str">
        <f>VLOOKUP(A48,'[1]PRECIOS NUEVOS'!$A:$C,3,0)</f>
        <v>pines</v>
      </c>
      <c r="D48" s="5">
        <v>2</v>
      </c>
      <c r="E48" s="5">
        <v>4.3</v>
      </c>
      <c r="F48" s="5">
        <v>8</v>
      </c>
      <c r="G48" s="11">
        <v>0.17</v>
      </c>
      <c r="H48" s="11">
        <v>0.12</v>
      </c>
      <c r="I48" s="8">
        <f t="shared" si="1"/>
        <v>5.5469999999999997</v>
      </c>
      <c r="J48" s="10">
        <v>1.1499999999999999</v>
      </c>
      <c r="K48" s="9">
        <f t="shared" si="2"/>
        <v>6.3790499999999994</v>
      </c>
      <c r="L48" s="11">
        <v>0.1</v>
      </c>
      <c r="M48" s="15">
        <f t="shared" si="0"/>
        <v>7.0169550000000003</v>
      </c>
    </row>
    <row r="49" spans="1:13" x14ac:dyDescent="0.25">
      <c r="A49" s="5" t="s">
        <v>98</v>
      </c>
      <c r="B49" s="6" t="s">
        <v>99</v>
      </c>
      <c r="C49" s="6" t="str">
        <f>VLOOKUP(A49,'[1]PRECIOS NUEVOS'!$A:$C,3,0)</f>
        <v>barra delantera vieja de 5.5mm</v>
      </c>
      <c r="D49" s="5">
        <v>1</v>
      </c>
      <c r="E49" s="5">
        <v>16</v>
      </c>
      <c r="F49" s="5">
        <v>28</v>
      </c>
      <c r="G49" s="11">
        <v>0.17</v>
      </c>
      <c r="H49" s="11">
        <v>0.12</v>
      </c>
      <c r="I49" s="8">
        <f t="shared" si="1"/>
        <v>20.64</v>
      </c>
      <c r="J49" s="10">
        <v>1.1499999999999999</v>
      </c>
      <c r="K49" s="9">
        <f t="shared" si="2"/>
        <v>23.735999999999997</v>
      </c>
      <c r="L49" s="11">
        <v>0.1</v>
      </c>
      <c r="M49" s="15">
        <f t="shared" si="0"/>
        <v>26.1096</v>
      </c>
    </row>
    <row r="50" spans="1:13" x14ac:dyDescent="0.25">
      <c r="A50" s="5" t="s">
        <v>100</v>
      </c>
      <c r="B50" s="6" t="s">
        <v>101</v>
      </c>
      <c r="C50" s="6" t="str">
        <f>VLOOKUP(A50,'[1]PRECIOS NUEVOS'!$A:$C,3,0)</f>
        <v>"ruleman" de la barra vieja</v>
      </c>
      <c r="D50" s="5">
        <v>1</v>
      </c>
      <c r="E50" s="5">
        <v>8.25</v>
      </c>
      <c r="F50" s="5">
        <v>15.2</v>
      </c>
      <c r="G50" s="11">
        <v>0.17</v>
      </c>
      <c r="H50" s="11">
        <v>0.12</v>
      </c>
      <c r="I50" s="8">
        <f t="shared" si="1"/>
        <v>10.6425</v>
      </c>
      <c r="J50" s="10">
        <v>1.1499999999999999</v>
      </c>
      <c r="K50" s="9">
        <f t="shared" si="2"/>
        <v>12.238874999999998</v>
      </c>
      <c r="L50" s="11">
        <v>0.1</v>
      </c>
      <c r="M50" s="15">
        <f t="shared" si="0"/>
        <v>13.4627625</v>
      </c>
    </row>
    <row r="51" spans="1:13" x14ac:dyDescent="0.25">
      <c r="A51" s="5" t="s">
        <v>102</v>
      </c>
      <c r="B51" s="6" t="s">
        <v>103</v>
      </c>
      <c r="C51" s="6">
        <f>VLOOKUP(A51,'[1]PRECIOS NUEVOS'!$A:$C,3,0)</f>
        <v>0</v>
      </c>
      <c r="D51" s="5">
        <v>8</v>
      </c>
      <c r="E51" s="5">
        <v>1.4</v>
      </c>
      <c r="F51" s="5">
        <v>2.6</v>
      </c>
      <c r="G51" s="11">
        <v>0.17</v>
      </c>
      <c r="H51" s="11">
        <v>0.12</v>
      </c>
      <c r="I51" s="8">
        <f t="shared" si="1"/>
        <v>1.8059999999999998</v>
      </c>
      <c r="J51" s="10">
        <v>1.1499999999999999</v>
      </c>
      <c r="K51" s="9">
        <f t="shared" si="2"/>
        <v>2.0768999999999997</v>
      </c>
      <c r="L51" s="11">
        <v>0.1</v>
      </c>
      <c r="M51" s="15">
        <f t="shared" si="0"/>
        <v>2.2845900000000001</v>
      </c>
    </row>
    <row r="52" spans="1:13" x14ac:dyDescent="0.25">
      <c r="A52" s="5" t="s">
        <v>104</v>
      </c>
      <c r="B52" s="6" t="s">
        <v>105</v>
      </c>
      <c r="C52" s="6" t="str">
        <f>VLOOKUP(A52,'[1]PRECIOS NUEVOS'!$A:$C,3,0)</f>
        <v xml:space="preserve">rodamiendo barra </v>
      </c>
      <c r="D52" s="5">
        <v>1</v>
      </c>
      <c r="E52" s="5">
        <v>4</v>
      </c>
      <c r="F52" s="5">
        <v>7.5</v>
      </c>
      <c r="G52" s="11">
        <v>0.17</v>
      </c>
      <c r="H52" s="11">
        <v>0.12</v>
      </c>
      <c r="I52" s="8">
        <f t="shared" si="1"/>
        <v>5.16</v>
      </c>
      <c r="J52" s="10">
        <v>1.1499999999999999</v>
      </c>
      <c r="K52" s="9">
        <f t="shared" si="2"/>
        <v>5.9339999999999993</v>
      </c>
      <c r="L52" s="11">
        <v>0.1</v>
      </c>
      <c r="M52" s="15">
        <f t="shared" si="0"/>
        <v>6.5274000000000001</v>
      </c>
    </row>
    <row r="53" spans="1:13" x14ac:dyDescent="0.25">
      <c r="A53" s="5" t="s">
        <v>106</v>
      </c>
      <c r="B53" s="6" t="s">
        <v>107</v>
      </c>
      <c r="C53" s="6" t="str">
        <f>VLOOKUP(A53,'[1]PRECIOS NUEVOS'!$A:$C,3,0)</f>
        <v>cuaderna delantera izquierda</v>
      </c>
      <c r="D53" s="5">
        <v>1</v>
      </c>
      <c r="E53" s="5">
        <v>49.5</v>
      </c>
      <c r="F53" s="5">
        <v>86</v>
      </c>
      <c r="G53" s="11">
        <v>0.17</v>
      </c>
      <c r="H53" s="11">
        <v>0.12</v>
      </c>
      <c r="I53" s="8">
        <f t="shared" si="1"/>
        <v>63.855000000000004</v>
      </c>
      <c r="J53" s="10">
        <v>1.1499999999999999</v>
      </c>
      <c r="K53" s="9">
        <f t="shared" si="2"/>
        <v>73.433250000000001</v>
      </c>
      <c r="L53" s="11">
        <v>0.1</v>
      </c>
      <c r="M53" s="15">
        <f t="shared" si="0"/>
        <v>80.776575000000008</v>
      </c>
    </row>
    <row r="54" spans="1:13" x14ac:dyDescent="0.25">
      <c r="A54" s="5" t="s">
        <v>108</v>
      </c>
      <c r="B54" s="6" t="s">
        <v>109</v>
      </c>
      <c r="C54" s="6" t="str">
        <f>VLOOKUP(A54,'[1]PRECIOS NUEVOS'!$A:$C,3,0)</f>
        <v>cuaderna delanter derecha</v>
      </c>
      <c r="D54" s="5">
        <v>1</v>
      </c>
      <c r="E54" s="5">
        <v>49.5</v>
      </c>
      <c r="F54" s="5">
        <v>86</v>
      </c>
      <c r="G54" s="11">
        <v>0.17</v>
      </c>
      <c r="H54" s="11">
        <v>0.12</v>
      </c>
      <c r="I54" s="8">
        <f t="shared" si="1"/>
        <v>63.855000000000004</v>
      </c>
      <c r="J54" s="10">
        <v>1.1499999999999999</v>
      </c>
      <c r="K54" s="9">
        <f t="shared" si="2"/>
        <v>73.433250000000001</v>
      </c>
      <c r="L54" s="11">
        <v>0.1</v>
      </c>
      <c r="M54" s="15">
        <f t="shared" si="0"/>
        <v>80.776575000000008</v>
      </c>
    </row>
    <row r="55" spans="1:13" x14ac:dyDescent="0.25">
      <c r="A55" s="5" t="s">
        <v>110</v>
      </c>
      <c r="B55" s="6" t="s">
        <v>111</v>
      </c>
      <c r="C55" s="6" t="str">
        <f>VLOOKUP(A55,'[1]PRECIOS NUEVOS'!$A:$C,3,0)</f>
        <v>bujes de parrilla</v>
      </c>
      <c r="D55" s="5">
        <v>8</v>
      </c>
      <c r="E55" s="5">
        <v>10</v>
      </c>
      <c r="F55" s="5">
        <v>18</v>
      </c>
      <c r="G55" s="11">
        <v>0.17</v>
      </c>
      <c r="H55" s="11">
        <v>0.12</v>
      </c>
      <c r="I55" s="8">
        <f t="shared" si="1"/>
        <v>12.9</v>
      </c>
      <c r="J55" s="10">
        <v>1.1499999999999999</v>
      </c>
      <c r="K55" s="9">
        <f t="shared" si="2"/>
        <v>14.834999999999999</v>
      </c>
      <c r="L55" s="11">
        <v>0.1</v>
      </c>
      <c r="M55" s="15">
        <f t="shared" si="0"/>
        <v>16.3185</v>
      </c>
    </row>
    <row r="56" spans="1:13" x14ac:dyDescent="0.25">
      <c r="A56" s="5" t="s">
        <v>112</v>
      </c>
      <c r="B56" s="6" t="s">
        <v>113</v>
      </c>
      <c r="C56" s="6">
        <f>VLOOKUP(A56,'[1]PRECIOS NUEVOS'!$A:$C,3,0)</f>
        <v>0</v>
      </c>
      <c r="D56" s="5">
        <v>8</v>
      </c>
      <c r="E56" s="5">
        <v>1.65</v>
      </c>
      <c r="F56" s="5">
        <v>3.8</v>
      </c>
      <c r="G56" s="11">
        <v>0.17</v>
      </c>
      <c r="H56" s="11">
        <v>0.12</v>
      </c>
      <c r="I56" s="8">
        <f t="shared" si="1"/>
        <v>2.1284999999999998</v>
      </c>
      <c r="J56" s="10">
        <v>1.1499999999999999</v>
      </c>
      <c r="K56" s="9">
        <f t="shared" si="2"/>
        <v>2.4477749999999996</v>
      </c>
      <c r="L56" s="11">
        <v>0.1</v>
      </c>
      <c r="M56" s="15">
        <f t="shared" si="0"/>
        <v>2.6925524999999997</v>
      </c>
    </row>
    <row r="57" spans="1:13" ht="30" x14ac:dyDescent="0.25">
      <c r="A57" s="5" t="s">
        <v>114</v>
      </c>
      <c r="B57" s="6" t="s">
        <v>115</v>
      </c>
      <c r="C57" s="6" t="str">
        <f>VLOOKUP(A57,'[1]PRECIOS NUEVOS'!$A:$C,3,0)</f>
        <v>der/izq de brazo de direccion corto</v>
      </c>
      <c r="D57" s="5">
        <v>1</v>
      </c>
      <c r="E57" s="5">
        <v>8</v>
      </c>
      <c r="F57" s="5">
        <v>14.7</v>
      </c>
      <c r="G57" s="11">
        <v>0.17</v>
      </c>
      <c r="H57" s="11">
        <v>0.12</v>
      </c>
      <c r="I57" s="8">
        <f t="shared" si="1"/>
        <v>10.32</v>
      </c>
      <c r="J57" s="10">
        <v>1.1499999999999999</v>
      </c>
      <c r="K57" s="9">
        <f t="shared" si="2"/>
        <v>11.867999999999999</v>
      </c>
      <c r="L57" s="11">
        <v>0.1</v>
      </c>
      <c r="M57" s="15">
        <f t="shared" si="0"/>
        <v>13.0548</v>
      </c>
    </row>
    <row r="58" spans="1:13" ht="30" x14ac:dyDescent="0.25">
      <c r="A58" s="5" t="s">
        <v>116</v>
      </c>
      <c r="B58" s="6" t="s">
        <v>117</v>
      </c>
      <c r="C58" s="6" t="str">
        <f>VLOOKUP(A58,'[1]PRECIOS NUEVOS'!$A:$C,3,0)</f>
        <v>der/izq de brazo de direccion largo</v>
      </c>
      <c r="D58" s="5">
        <v>1</v>
      </c>
      <c r="E58" s="5">
        <v>8</v>
      </c>
      <c r="F58" s="5">
        <v>14.7</v>
      </c>
      <c r="G58" s="11">
        <v>0.17</v>
      </c>
      <c r="H58" s="11">
        <v>0.12</v>
      </c>
      <c r="I58" s="8">
        <f t="shared" si="1"/>
        <v>10.32</v>
      </c>
      <c r="J58" s="10">
        <v>1.1499999999999999</v>
      </c>
      <c r="K58" s="9">
        <f t="shared" si="2"/>
        <v>11.867999999999999</v>
      </c>
      <c r="L58" s="11">
        <v>0.1</v>
      </c>
      <c r="M58" s="15">
        <f t="shared" si="0"/>
        <v>13.0548</v>
      </c>
    </row>
    <row r="59" spans="1:13" ht="30" x14ac:dyDescent="0.25">
      <c r="A59" s="5" t="s">
        <v>118</v>
      </c>
      <c r="B59" s="6" t="s">
        <v>119</v>
      </c>
      <c r="C59" s="6" t="str">
        <f>VLOOKUP(A59,'[1]PRECIOS NUEVOS'!$A:$C,3,0)</f>
        <v>rotula plastica de barra trasera y brazo de direccion</v>
      </c>
      <c r="D59" s="5">
        <v>2</v>
      </c>
      <c r="E59" s="5">
        <v>3</v>
      </c>
      <c r="F59" s="5">
        <v>5.5</v>
      </c>
      <c r="G59" s="11">
        <v>0.17</v>
      </c>
      <c r="H59" s="11">
        <v>0.12</v>
      </c>
      <c r="I59" s="8">
        <f t="shared" si="1"/>
        <v>3.87</v>
      </c>
      <c r="J59" s="10">
        <v>1.1499999999999999</v>
      </c>
      <c r="K59" s="9">
        <f t="shared" si="2"/>
        <v>4.4504999999999999</v>
      </c>
      <c r="L59" s="11">
        <v>0.1</v>
      </c>
      <c r="M59" s="15">
        <f t="shared" si="0"/>
        <v>4.8955500000000001</v>
      </c>
    </row>
    <row r="60" spans="1:13" x14ac:dyDescent="0.25">
      <c r="A60" s="5" t="s">
        <v>120</v>
      </c>
      <c r="B60" s="6" t="s">
        <v>121</v>
      </c>
      <c r="C60" s="6" t="str">
        <f>VLOOKUP(A60,'[1]PRECIOS NUEVOS'!$A:$C,3,0)</f>
        <v>separador de brazo de direccion</v>
      </c>
      <c r="D60" s="5">
        <v>8</v>
      </c>
      <c r="E60" s="5">
        <v>1.2</v>
      </c>
      <c r="F60" s="5">
        <v>2.2000000000000002</v>
      </c>
      <c r="G60" s="11">
        <v>0.17</v>
      </c>
      <c r="H60" s="11">
        <v>0.12</v>
      </c>
      <c r="I60" s="8">
        <f t="shared" si="1"/>
        <v>1.548</v>
      </c>
      <c r="J60" s="10">
        <v>1.1499999999999999</v>
      </c>
      <c r="K60" s="9">
        <f t="shared" si="2"/>
        <v>1.7802</v>
      </c>
      <c r="L60" s="11">
        <v>0.1</v>
      </c>
      <c r="M60" s="15">
        <f t="shared" si="0"/>
        <v>1.9582200000000001</v>
      </c>
    </row>
    <row r="61" spans="1:13" x14ac:dyDescent="0.25">
      <c r="A61" s="5" t="s">
        <v>122</v>
      </c>
      <c r="B61" s="6" t="s">
        <v>123</v>
      </c>
      <c r="C61" s="6">
        <f>VLOOKUP(A61,'[1]PRECIOS NUEVOS'!$A:$C,3,0)</f>
        <v>0</v>
      </c>
      <c r="D61" s="5">
        <v>1</v>
      </c>
      <c r="E61" s="5">
        <v>6</v>
      </c>
      <c r="F61" s="5">
        <v>11</v>
      </c>
      <c r="G61" s="11">
        <v>0.17</v>
      </c>
      <c r="H61" s="11">
        <v>0.12</v>
      </c>
      <c r="I61" s="8">
        <f t="shared" si="1"/>
        <v>7.74</v>
      </c>
      <c r="J61" s="10">
        <v>1.1499999999999999</v>
      </c>
      <c r="K61" s="9">
        <f t="shared" si="2"/>
        <v>8.9009999999999998</v>
      </c>
      <c r="L61" s="11">
        <v>0.1</v>
      </c>
      <c r="M61" s="15">
        <f t="shared" si="0"/>
        <v>9.7911000000000001</v>
      </c>
    </row>
    <row r="62" spans="1:13" x14ac:dyDescent="0.25">
      <c r="A62" s="5" t="s">
        <v>124</v>
      </c>
      <c r="B62" s="6" t="s">
        <v>125</v>
      </c>
      <c r="C62" s="6">
        <f>VLOOKUP(A62,'[1]PRECIOS NUEVOS'!$A:$C,3,0)</f>
        <v>0</v>
      </c>
      <c r="D62" s="5">
        <v>1</v>
      </c>
      <c r="E62" s="5">
        <v>6</v>
      </c>
      <c r="F62" s="5">
        <v>11</v>
      </c>
      <c r="G62" s="11">
        <v>0.17</v>
      </c>
      <c r="H62" s="11">
        <v>0.12</v>
      </c>
      <c r="I62" s="8">
        <f t="shared" si="1"/>
        <v>7.74</v>
      </c>
      <c r="J62" s="10">
        <v>1.1499999999999999</v>
      </c>
      <c r="K62" s="9">
        <f t="shared" si="2"/>
        <v>8.9009999999999998</v>
      </c>
      <c r="L62" s="11">
        <v>0.1</v>
      </c>
      <c r="M62" s="15">
        <f t="shared" si="0"/>
        <v>9.7911000000000001</v>
      </c>
    </row>
    <row r="63" spans="1:13" x14ac:dyDescent="0.25">
      <c r="A63" s="5" t="s">
        <v>126</v>
      </c>
      <c r="B63" s="6" t="s">
        <v>127</v>
      </c>
      <c r="C63" s="6" t="str">
        <f>VLOOKUP(A63,'[1]PRECIOS NUEVOS'!$A:$C,3,0)</f>
        <v>tuerca de ajuste del salva servo</v>
      </c>
      <c r="D63" s="5">
        <v>1</v>
      </c>
      <c r="E63" s="5">
        <v>5.5</v>
      </c>
      <c r="F63" s="5">
        <v>10.1</v>
      </c>
      <c r="G63" s="11">
        <v>0.17</v>
      </c>
      <c r="H63" s="11">
        <v>0.12</v>
      </c>
      <c r="I63" s="8">
        <f t="shared" si="1"/>
        <v>7.0950000000000006</v>
      </c>
      <c r="J63" s="10">
        <v>1.1499999999999999</v>
      </c>
      <c r="K63" s="9">
        <f t="shared" si="2"/>
        <v>8.1592500000000001</v>
      </c>
      <c r="L63" s="11">
        <v>0.1</v>
      </c>
      <c r="M63" s="15">
        <f t="shared" si="0"/>
        <v>8.9751750000000001</v>
      </c>
    </row>
    <row r="64" spans="1:13" x14ac:dyDescent="0.25">
      <c r="A64" s="5" t="s">
        <v>128</v>
      </c>
      <c r="B64" s="6" t="s">
        <v>129</v>
      </c>
      <c r="C64" s="6" t="str">
        <f>VLOOKUP(A64,'[1]PRECIOS NUEVOS'!$A:$C,3,0)</f>
        <v>chapa de salvaservo viejo</v>
      </c>
      <c r="D64" s="5">
        <v>10</v>
      </c>
      <c r="E64" s="5">
        <v>4.3</v>
      </c>
      <c r="F64" s="5">
        <v>8</v>
      </c>
      <c r="G64" s="11">
        <v>0.17</v>
      </c>
      <c r="H64" s="11">
        <v>0.12</v>
      </c>
      <c r="I64" s="8">
        <f t="shared" si="1"/>
        <v>5.5469999999999997</v>
      </c>
      <c r="J64" s="10">
        <v>1.1499999999999999</v>
      </c>
      <c r="K64" s="9">
        <f t="shared" si="2"/>
        <v>6.3790499999999994</v>
      </c>
      <c r="L64" s="11">
        <v>0.1</v>
      </c>
      <c r="M64" s="15">
        <f t="shared" si="0"/>
        <v>7.0169550000000003</v>
      </c>
    </row>
    <row r="65" spans="1:13" x14ac:dyDescent="0.25">
      <c r="A65" s="5" t="s">
        <v>130</v>
      </c>
      <c r="B65" s="6" t="s">
        <v>131</v>
      </c>
      <c r="C65" s="6" t="str">
        <f>VLOOKUP(A65,'[1]PRECIOS NUEVOS'!$A:$C,3,0)</f>
        <v>chapa de salvaservo viejo</v>
      </c>
      <c r="D65" s="5">
        <v>10</v>
      </c>
      <c r="E65" s="5">
        <v>4.3</v>
      </c>
      <c r="F65" s="5">
        <v>8</v>
      </c>
      <c r="G65" s="11">
        <v>0.17</v>
      </c>
      <c r="H65" s="11">
        <v>0.12</v>
      </c>
      <c r="I65" s="8">
        <f t="shared" si="1"/>
        <v>5.5469999999999997</v>
      </c>
      <c r="J65" s="10">
        <v>1.1499999999999999</v>
      </c>
      <c r="K65" s="9">
        <f t="shared" si="2"/>
        <v>6.3790499999999994</v>
      </c>
      <c r="L65" s="11">
        <v>0.1</v>
      </c>
      <c r="M65" s="15">
        <f t="shared" si="0"/>
        <v>7.0169550000000003</v>
      </c>
    </row>
    <row r="66" spans="1:13" x14ac:dyDescent="0.25">
      <c r="A66" s="5" t="s">
        <v>132</v>
      </c>
      <c r="B66" s="6" t="s">
        <v>133</v>
      </c>
      <c r="C66" s="6" t="str">
        <f>VLOOKUP(A66,'[1]PRECIOS NUEVOS'!$A:$C,3,0)</f>
        <v>cuerpo inferior salvaservo viejo</v>
      </c>
      <c r="D66" s="5">
        <v>1</v>
      </c>
      <c r="E66" s="5">
        <v>26.5</v>
      </c>
      <c r="F66" s="5">
        <v>46</v>
      </c>
      <c r="G66" s="11">
        <v>0.17</v>
      </c>
      <c r="H66" s="11">
        <v>0.12</v>
      </c>
      <c r="I66" s="8">
        <f t="shared" si="1"/>
        <v>34.185000000000002</v>
      </c>
      <c r="J66" s="10">
        <v>1.1499999999999999</v>
      </c>
      <c r="K66" s="9">
        <f t="shared" si="2"/>
        <v>39.312750000000001</v>
      </c>
      <c r="L66" s="11">
        <v>0.1</v>
      </c>
      <c r="M66" s="15">
        <f t="shared" ref="M66:M129" si="3">K66*(1+L66)</f>
        <v>43.244025000000008</v>
      </c>
    </row>
    <row r="67" spans="1:13" x14ac:dyDescent="0.25">
      <c r="A67" s="5" t="s">
        <v>134</v>
      </c>
      <c r="B67" s="6" t="s">
        <v>135</v>
      </c>
      <c r="C67" s="6" t="str">
        <f>VLOOKUP(A67,'[1]PRECIOS NUEVOS'!$A:$C,3,0)</f>
        <v>cuerpo superior salva servo</v>
      </c>
      <c r="D67" s="5">
        <v>1</v>
      </c>
      <c r="E67" s="5">
        <v>20</v>
      </c>
      <c r="F67" s="5">
        <v>35</v>
      </c>
      <c r="G67" s="11">
        <v>0.17</v>
      </c>
      <c r="H67" s="11">
        <v>0.12</v>
      </c>
      <c r="I67" s="8">
        <f t="shared" ref="I67:I130" si="4">E67*(1+G67+H67)</f>
        <v>25.8</v>
      </c>
      <c r="J67" s="10">
        <v>1.1499999999999999</v>
      </c>
      <c r="K67" s="9">
        <f t="shared" ref="K67:K130" si="5">I67*J67</f>
        <v>29.669999999999998</v>
      </c>
      <c r="L67" s="11">
        <v>0.1</v>
      </c>
      <c r="M67" s="15">
        <f t="shared" si="3"/>
        <v>32.637</v>
      </c>
    </row>
    <row r="68" spans="1:13" x14ac:dyDescent="0.25">
      <c r="A68" s="5" t="s">
        <v>136</v>
      </c>
      <c r="B68" s="6" t="s">
        <v>137</v>
      </c>
      <c r="C68" s="6">
        <f>VLOOKUP(A68,'[1]PRECIOS NUEVOS'!$A:$C,3,0)</f>
        <v>0</v>
      </c>
      <c r="D68" s="5">
        <v>3</v>
      </c>
      <c r="E68" s="5">
        <v>1.1000000000000001</v>
      </c>
      <c r="F68" s="5">
        <v>2</v>
      </c>
      <c r="G68" s="11">
        <v>0.17</v>
      </c>
      <c r="H68" s="11">
        <v>0.12</v>
      </c>
      <c r="I68" s="8">
        <f t="shared" si="4"/>
        <v>1.4190000000000003</v>
      </c>
      <c r="J68" s="10">
        <v>1.1499999999999999</v>
      </c>
      <c r="K68" s="9">
        <f t="shared" si="5"/>
        <v>1.6318500000000002</v>
      </c>
      <c r="L68" s="11">
        <v>0.1</v>
      </c>
      <c r="M68" s="15">
        <f t="shared" si="3"/>
        <v>1.7950350000000004</v>
      </c>
    </row>
    <row r="69" spans="1:13" x14ac:dyDescent="0.25">
      <c r="A69" s="5" t="s">
        <v>138</v>
      </c>
      <c r="B69" s="6" t="s">
        <v>139</v>
      </c>
      <c r="C69" s="6">
        <f>VLOOKUP(A69,'[1]PRECIOS NUEVOS'!$A:$C,3,0)</f>
        <v>0</v>
      </c>
      <c r="D69" s="5">
        <v>8</v>
      </c>
      <c r="E69" s="5">
        <v>1.55</v>
      </c>
      <c r="F69" s="5">
        <v>3.8</v>
      </c>
      <c r="G69" s="11">
        <v>0.17</v>
      </c>
      <c r="H69" s="11">
        <v>0.12</v>
      </c>
      <c r="I69" s="8">
        <f t="shared" si="4"/>
        <v>1.9995000000000001</v>
      </c>
      <c r="J69" s="10">
        <v>1.1499999999999999</v>
      </c>
      <c r="K69" s="9">
        <f t="shared" si="5"/>
        <v>2.2994249999999998</v>
      </c>
      <c r="L69" s="11">
        <v>0.1</v>
      </c>
      <c r="M69" s="15">
        <f t="shared" si="3"/>
        <v>2.5293675000000002</v>
      </c>
    </row>
    <row r="70" spans="1:13" ht="30" x14ac:dyDescent="0.25">
      <c r="A70" s="5" t="s">
        <v>140</v>
      </c>
      <c r="B70" s="6" t="s">
        <v>141</v>
      </c>
      <c r="C70" s="6" t="str">
        <f>VLOOKUP(A70,'[1]PRECIOS NUEVOS'!$A:$C,3,0)</f>
        <v>triangulo de coneccion del salvaservo viejo</v>
      </c>
      <c r="D70" s="5">
        <v>1</v>
      </c>
      <c r="E70" s="5">
        <v>15</v>
      </c>
      <c r="F70" s="5">
        <v>26</v>
      </c>
      <c r="G70" s="11">
        <v>0.17</v>
      </c>
      <c r="H70" s="11">
        <v>0.12</v>
      </c>
      <c r="I70" s="8">
        <f t="shared" si="4"/>
        <v>19.350000000000001</v>
      </c>
      <c r="J70" s="10">
        <v>1.1499999999999999</v>
      </c>
      <c r="K70" s="9">
        <f t="shared" si="5"/>
        <v>22.252500000000001</v>
      </c>
      <c r="L70" s="11">
        <v>0.1</v>
      </c>
      <c r="M70" s="15">
        <f t="shared" si="3"/>
        <v>24.477750000000004</v>
      </c>
    </row>
    <row r="71" spans="1:13" x14ac:dyDescent="0.25">
      <c r="A71" s="5" t="s">
        <v>142</v>
      </c>
      <c r="B71" s="6" t="s">
        <v>143</v>
      </c>
      <c r="C71" s="6">
        <f>VLOOKUP(A71,'[1]PRECIOS NUEVOS'!$A:$C,3,0)</f>
        <v>0</v>
      </c>
      <c r="D71" s="5">
        <v>4</v>
      </c>
      <c r="E71" s="5">
        <v>1.1000000000000001</v>
      </c>
      <c r="F71" s="5">
        <v>2</v>
      </c>
      <c r="G71" s="11">
        <v>0.17</v>
      </c>
      <c r="H71" s="11">
        <v>0.12</v>
      </c>
      <c r="I71" s="8">
        <f t="shared" si="4"/>
        <v>1.4190000000000003</v>
      </c>
      <c r="J71" s="10">
        <v>1.1499999999999999</v>
      </c>
      <c r="K71" s="9">
        <f t="shared" si="5"/>
        <v>1.6318500000000002</v>
      </c>
      <c r="L71" s="11">
        <v>0.1</v>
      </c>
      <c r="M71" s="15">
        <f t="shared" si="3"/>
        <v>1.7950350000000004</v>
      </c>
    </row>
    <row r="72" spans="1:13" x14ac:dyDescent="0.25">
      <c r="A72" s="5" t="s">
        <v>144</v>
      </c>
      <c r="B72" s="6" t="s">
        <v>145</v>
      </c>
      <c r="C72" s="6" t="str">
        <f>VLOOKUP(A72,'[1]PRECIOS NUEVOS'!$A:$C,3,0)</f>
        <v>columnas de radiotrain</v>
      </c>
      <c r="D72" s="5">
        <v>1</v>
      </c>
      <c r="E72" s="5">
        <v>4</v>
      </c>
      <c r="F72" s="5">
        <v>7.5</v>
      </c>
      <c r="G72" s="11">
        <v>0.17</v>
      </c>
      <c r="H72" s="11">
        <v>0.12</v>
      </c>
      <c r="I72" s="8">
        <f t="shared" si="4"/>
        <v>5.16</v>
      </c>
      <c r="J72" s="10">
        <v>1.1499999999999999</v>
      </c>
      <c r="K72" s="9">
        <f t="shared" si="5"/>
        <v>5.9339999999999993</v>
      </c>
      <c r="L72" s="11">
        <v>0.1</v>
      </c>
      <c r="M72" s="15">
        <f t="shared" si="3"/>
        <v>6.5274000000000001</v>
      </c>
    </row>
    <row r="73" spans="1:13" x14ac:dyDescent="0.25">
      <c r="A73" s="5" t="s">
        <v>146</v>
      </c>
      <c r="B73" s="6" t="s">
        <v>147</v>
      </c>
      <c r="C73" s="6">
        <f>VLOOKUP(A73,'[1]PRECIOS NUEVOS'!$A:$C,3,0)</f>
        <v>0</v>
      </c>
      <c r="D73" s="5">
        <v>8</v>
      </c>
      <c r="E73" s="5">
        <v>2.2999999999999998</v>
      </c>
      <c r="F73" s="5">
        <v>4.2</v>
      </c>
      <c r="G73" s="11">
        <v>0.17</v>
      </c>
      <c r="H73" s="11">
        <v>0.12</v>
      </c>
      <c r="I73" s="8">
        <f t="shared" si="4"/>
        <v>2.9669999999999996</v>
      </c>
      <c r="J73" s="10">
        <v>1.1499999999999999</v>
      </c>
      <c r="K73" s="9">
        <f t="shared" si="5"/>
        <v>3.4120499999999994</v>
      </c>
      <c r="L73" s="11">
        <v>0.1</v>
      </c>
      <c r="M73" s="15">
        <f t="shared" si="3"/>
        <v>3.7532549999999998</v>
      </c>
    </row>
    <row r="74" spans="1:13" x14ac:dyDescent="0.25">
      <c r="A74" s="5" t="s">
        <v>148</v>
      </c>
      <c r="B74" s="6" t="s">
        <v>149</v>
      </c>
      <c r="C74" s="6" t="str">
        <f>VLOOKUP(A74,'[1]PRECIOS NUEVOS'!$A:$C,3,0)</f>
        <v>caja de receptor</v>
      </c>
      <c r="D74" s="5">
        <v>1</v>
      </c>
      <c r="E74" s="5">
        <v>11</v>
      </c>
      <c r="F74" s="5">
        <v>19</v>
      </c>
      <c r="G74" s="11">
        <v>0.17</v>
      </c>
      <c r="H74" s="11">
        <v>0.12</v>
      </c>
      <c r="I74" s="8">
        <f t="shared" si="4"/>
        <v>14.190000000000001</v>
      </c>
      <c r="J74" s="10">
        <v>1.1499999999999999</v>
      </c>
      <c r="K74" s="9">
        <f t="shared" si="5"/>
        <v>16.3185</v>
      </c>
      <c r="L74" s="11">
        <v>0.1</v>
      </c>
      <c r="M74" s="15">
        <f t="shared" si="3"/>
        <v>17.95035</v>
      </c>
    </row>
    <row r="75" spans="1:13" x14ac:dyDescent="0.25">
      <c r="A75" s="5" t="s">
        <v>150</v>
      </c>
      <c r="B75" s="6" t="s">
        <v>151</v>
      </c>
      <c r="C75" s="6" t="str">
        <f>VLOOKUP(A75,'[1]PRECIOS NUEVOS'!$A:$C,3,0)</f>
        <v>tanque de combustible</v>
      </c>
      <c r="D75" s="5">
        <v>1</v>
      </c>
      <c r="E75" s="5">
        <v>62</v>
      </c>
      <c r="F75" s="5">
        <v>108</v>
      </c>
      <c r="G75" s="11">
        <v>0.17</v>
      </c>
      <c r="H75" s="11">
        <v>0.12</v>
      </c>
      <c r="I75" s="8">
        <f t="shared" si="4"/>
        <v>79.98</v>
      </c>
      <c r="J75" s="10">
        <v>1.1499999999999999</v>
      </c>
      <c r="K75" s="9">
        <f t="shared" si="5"/>
        <v>91.977000000000004</v>
      </c>
      <c r="L75" s="11">
        <v>0.1</v>
      </c>
      <c r="M75" s="15">
        <f t="shared" si="3"/>
        <v>101.17470000000002</v>
      </c>
    </row>
    <row r="76" spans="1:13" x14ac:dyDescent="0.25">
      <c r="A76" s="5" t="s">
        <v>152</v>
      </c>
      <c r="B76" s="6" t="s">
        <v>153</v>
      </c>
      <c r="C76" s="6" t="str">
        <f>VLOOKUP(A76,'[1]PRECIOS NUEVOS'!$A:$C,3,0)</f>
        <v>laterales de chasis</v>
      </c>
      <c r="D76" s="5">
        <v>1</v>
      </c>
      <c r="E76" s="5">
        <v>31</v>
      </c>
      <c r="F76" s="5">
        <v>54</v>
      </c>
      <c r="G76" s="11">
        <v>0.17</v>
      </c>
      <c r="H76" s="11">
        <v>0.12</v>
      </c>
      <c r="I76" s="8">
        <f t="shared" si="4"/>
        <v>39.99</v>
      </c>
      <c r="J76" s="10">
        <v>1.1499999999999999</v>
      </c>
      <c r="K76" s="9">
        <f t="shared" si="5"/>
        <v>45.988500000000002</v>
      </c>
      <c r="L76" s="11">
        <v>0.1</v>
      </c>
      <c r="M76" s="15">
        <f t="shared" si="3"/>
        <v>50.587350000000008</v>
      </c>
    </row>
    <row r="77" spans="1:13" x14ac:dyDescent="0.25">
      <c r="A77" s="5" t="s">
        <v>154</v>
      </c>
      <c r="B77" s="6" t="s">
        <v>155</v>
      </c>
      <c r="C77" s="6" t="str">
        <f>VLOOKUP(A77,'[1]PRECIOS NUEVOS'!$A:$C,3,0)</f>
        <v>palito de carriceria lateral largo</v>
      </c>
      <c r="D77" s="5">
        <v>1</v>
      </c>
      <c r="E77" s="5">
        <v>4.2</v>
      </c>
      <c r="F77" s="5">
        <v>7.7</v>
      </c>
      <c r="G77" s="11">
        <v>0.17</v>
      </c>
      <c r="H77" s="11">
        <v>0.12</v>
      </c>
      <c r="I77" s="8">
        <f t="shared" si="4"/>
        <v>5.4180000000000001</v>
      </c>
      <c r="J77" s="10">
        <v>1.1499999999999999</v>
      </c>
      <c r="K77" s="9">
        <f t="shared" si="5"/>
        <v>6.2306999999999997</v>
      </c>
      <c r="L77" s="11">
        <v>0.1</v>
      </c>
      <c r="M77" s="15">
        <f t="shared" si="3"/>
        <v>6.8537699999999999</v>
      </c>
    </row>
    <row r="78" spans="1:13" x14ac:dyDescent="0.25">
      <c r="A78" s="5" t="s">
        <v>156</v>
      </c>
      <c r="B78" s="6" t="s">
        <v>157</v>
      </c>
      <c r="C78" s="6" t="e">
        <f>VLOOKUP(A78,'[1]PRECIOS NUEVOS'!$A:$C,3,0)</f>
        <v>#N/A</v>
      </c>
      <c r="D78" s="5">
        <v>1</v>
      </c>
      <c r="E78" s="5">
        <v>4.2</v>
      </c>
      <c r="F78" s="5">
        <v>7.7</v>
      </c>
      <c r="G78" s="11">
        <v>0.17</v>
      </c>
      <c r="H78" s="11">
        <v>0.12</v>
      </c>
      <c r="I78" s="8">
        <f t="shared" si="4"/>
        <v>5.4180000000000001</v>
      </c>
      <c r="J78" s="10">
        <v>1.1499999999999999</v>
      </c>
      <c r="K78" s="9">
        <f t="shared" si="5"/>
        <v>6.2306999999999997</v>
      </c>
      <c r="L78" s="11">
        <v>0.1</v>
      </c>
      <c r="M78" s="15">
        <f t="shared" si="3"/>
        <v>6.8537699999999999</v>
      </c>
    </row>
    <row r="79" spans="1:13" x14ac:dyDescent="0.25">
      <c r="A79" s="5" t="s">
        <v>158</v>
      </c>
      <c r="B79" s="6" t="s">
        <v>159</v>
      </c>
      <c r="C79" s="6" t="str">
        <f>VLOOKUP(A79,'[1]PRECIOS NUEVOS'!$A:$C,3,0)</f>
        <v>carbono lateral para carroceria</v>
      </c>
      <c r="D79" s="5">
        <v>1</v>
      </c>
      <c r="E79" s="5">
        <v>10</v>
      </c>
      <c r="F79" s="5">
        <v>18.5</v>
      </c>
      <c r="G79" s="11">
        <v>0.17</v>
      </c>
      <c r="H79" s="11">
        <v>0.12</v>
      </c>
      <c r="I79" s="8">
        <f t="shared" si="4"/>
        <v>12.9</v>
      </c>
      <c r="J79" s="10">
        <v>1.1499999999999999</v>
      </c>
      <c r="K79" s="9">
        <f t="shared" si="5"/>
        <v>14.834999999999999</v>
      </c>
      <c r="L79" s="11">
        <v>0.1</v>
      </c>
      <c r="M79" s="15">
        <f t="shared" si="3"/>
        <v>16.3185</v>
      </c>
    </row>
    <row r="80" spans="1:13" x14ac:dyDescent="0.25">
      <c r="A80" s="5" t="s">
        <v>160</v>
      </c>
      <c r="B80" s="6" t="s">
        <v>161</v>
      </c>
      <c r="C80" s="6">
        <f>VLOOKUP(A80,'[1]PRECIOS NUEVOS'!$A:$C,3,0)</f>
        <v>0</v>
      </c>
      <c r="D80" s="5">
        <v>8</v>
      </c>
      <c r="E80" s="5">
        <v>1.65</v>
      </c>
      <c r="F80" s="5">
        <v>3.8</v>
      </c>
      <c r="G80" s="11">
        <v>0.17</v>
      </c>
      <c r="H80" s="11">
        <v>0.12</v>
      </c>
      <c r="I80" s="8">
        <f t="shared" si="4"/>
        <v>2.1284999999999998</v>
      </c>
      <c r="J80" s="10">
        <v>1.1499999999999999</v>
      </c>
      <c r="K80" s="9">
        <f t="shared" si="5"/>
        <v>2.4477749999999996</v>
      </c>
      <c r="L80" s="11">
        <v>0.1</v>
      </c>
      <c r="M80" s="15">
        <f t="shared" si="3"/>
        <v>2.6925524999999997</v>
      </c>
    </row>
    <row r="81" spans="1:13" x14ac:dyDescent="0.25">
      <c r="A81" s="5" t="s">
        <v>162</v>
      </c>
      <c r="B81" s="6" t="s">
        <v>163</v>
      </c>
      <c r="C81" s="6">
        <f>VLOOKUP(A81,'[1]PRECIOS NUEVOS'!$A:$C,3,0)</f>
        <v>0</v>
      </c>
      <c r="D81" s="5">
        <v>8</v>
      </c>
      <c r="E81" s="5">
        <v>1.65</v>
      </c>
      <c r="F81" s="5">
        <v>3.8</v>
      </c>
      <c r="G81" s="11">
        <v>0.17</v>
      </c>
      <c r="H81" s="11">
        <v>0.12</v>
      </c>
      <c r="I81" s="8">
        <f t="shared" si="4"/>
        <v>2.1284999999999998</v>
      </c>
      <c r="J81" s="10">
        <v>1.1499999999999999</v>
      </c>
      <c r="K81" s="9">
        <f t="shared" si="5"/>
        <v>2.4477749999999996</v>
      </c>
      <c r="L81" s="11">
        <v>0.1</v>
      </c>
      <c r="M81" s="15">
        <f t="shared" si="3"/>
        <v>2.6925524999999997</v>
      </c>
    </row>
    <row r="82" spans="1:13" x14ac:dyDescent="0.25">
      <c r="A82" s="5" t="s">
        <v>164</v>
      </c>
      <c r="B82" s="6" t="s">
        <v>165</v>
      </c>
      <c r="C82" s="6" t="str">
        <f>VLOOKUP(A82,'[1]PRECIOS NUEVOS'!$A:$C,3,0)</f>
        <v>Triangulo (tapa) del embrague</v>
      </c>
      <c r="D82" s="5">
        <v>1</v>
      </c>
      <c r="E82" s="5">
        <v>18</v>
      </c>
      <c r="F82" s="5">
        <v>31.5</v>
      </c>
      <c r="G82" s="11">
        <v>0.17</v>
      </c>
      <c r="H82" s="11">
        <v>0.12</v>
      </c>
      <c r="I82" s="8">
        <f t="shared" si="4"/>
        <v>23.22</v>
      </c>
      <c r="J82" s="10">
        <v>1.1499999999999999</v>
      </c>
      <c r="K82" s="9">
        <f t="shared" si="5"/>
        <v>26.702999999999996</v>
      </c>
      <c r="L82" s="11">
        <v>0.1</v>
      </c>
      <c r="M82" s="15">
        <f t="shared" si="3"/>
        <v>29.373299999999997</v>
      </c>
    </row>
    <row r="83" spans="1:13" x14ac:dyDescent="0.25">
      <c r="A83" s="5" t="s">
        <v>166</v>
      </c>
      <c r="B83" s="6" t="s">
        <v>167</v>
      </c>
      <c r="C83" s="6" t="str">
        <f>VLOOKUP(A83,'[1]PRECIOS NUEVOS'!$A:$C,3,0)</f>
        <v>Ruleman campana</v>
      </c>
      <c r="D83" s="5">
        <v>1</v>
      </c>
      <c r="E83" s="5">
        <v>5</v>
      </c>
      <c r="F83" s="5">
        <v>9.1999999999999993</v>
      </c>
      <c r="G83" s="11">
        <v>0.17</v>
      </c>
      <c r="H83" s="11">
        <v>0.12</v>
      </c>
      <c r="I83" s="8">
        <f t="shared" si="4"/>
        <v>6.45</v>
      </c>
      <c r="J83" s="10">
        <v>1.1499999999999999</v>
      </c>
      <c r="K83" s="9">
        <f t="shared" si="5"/>
        <v>7.4174999999999995</v>
      </c>
      <c r="L83" s="11">
        <v>0.1</v>
      </c>
      <c r="M83" s="15">
        <f t="shared" si="3"/>
        <v>8.1592500000000001</v>
      </c>
    </row>
    <row r="84" spans="1:13" ht="30" x14ac:dyDescent="0.25">
      <c r="A84" s="5" t="s">
        <v>168</v>
      </c>
      <c r="B84" s="6" t="s">
        <v>169</v>
      </c>
      <c r="C84" s="6" t="str">
        <f>VLOOKUP(A84,'[1]PRECIOS NUEVOS'!$A:$C,3,0)</f>
        <v>columna que va en acople de motor</v>
      </c>
      <c r="D84" s="5">
        <v>1</v>
      </c>
      <c r="E84" s="5">
        <v>4</v>
      </c>
      <c r="F84" s="5">
        <v>7.5</v>
      </c>
      <c r="G84" s="11">
        <v>0.17</v>
      </c>
      <c r="H84" s="11">
        <v>0.12</v>
      </c>
      <c r="I84" s="8">
        <f t="shared" si="4"/>
        <v>5.16</v>
      </c>
      <c r="J84" s="10">
        <v>1.1499999999999999</v>
      </c>
      <c r="K84" s="9">
        <f t="shared" si="5"/>
        <v>5.9339999999999993</v>
      </c>
      <c r="L84" s="11">
        <v>0.1</v>
      </c>
      <c r="M84" s="15">
        <f t="shared" si="3"/>
        <v>6.5274000000000001</v>
      </c>
    </row>
    <row r="85" spans="1:13" x14ac:dyDescent="0.25">
      <c r="A85" s="5" t="s">
        <v>170</v>
      </c>
      <c r="B85" s="6" t="s">
        <v>171</v>
      </c>
      <c r="C85" s="6" t="str">
        <f>VLOOKUP(A85,'[1]PRECIOS NUEVOS'!$A:$C,3,0)</f>
        <v>tornillo de embrague</v>
      </c>
      <c r="D85" s="5">
        <v>1</v>
      </c>
      <c r="E85" s="5">
        <v>16</v>
      </c>
      <c r="F85" s="5">
        <v>28</v>
      </c>
      <c r="G85" s="11">
        <v>0.17</v>
      </c>
      <c r="H85" s="11">
        <v>0.12</v>
      </c>
      <c r="I85" s="8">
        <f t="shared" si="4"/>
        <v>20.64</v>
      </c>
      <c r="J85" s="10">
        <v>1.1499999999999999</v>
      </c>
      <c r="K85" s="9">
        <f t="shared" si="5"/>
        <v>23.735999999999997</v>
      </c>
      <c r="L85" s="11">
        <v>0.1</v>
      </c>
      <c r="M85" s="15">
        <f t="shared" si="3"/>
        <v>26.1096</v>
      </c>
    </row>
    <row r="86" spans="1:13" x14ac:dyDescent="0.25">
      <c r="A86" s="5" t="s">
        <v>172</v>
      </c>
      <c r="B86" s="6" t="s">
        <v>173</v>
      </c>
      <c r="C86" s="6" t="str">
        <f>VLOOKUP(A86,'[1]PRECIOS NUEVOS'!$A:$C,3,0)</f>
        <v>ceger de piñon</v>
      </c>
      <c r="D86" s="5">
        <v>1</v>
      </c>
      <c r="E86" s="5">
        <v>1.2</v>
      </c>
      <c r="F86" s="5">
        <v>2.2000000000000002</v>
      </c>
      <c r="G86" s="11">
        <v>0.17</v>
      </c>
      <c r="H86" s="11">
        <v>0.12</v>
      </c>
      <c r="I86" s="8">
        <f t="shared" si="4"/>
        <v>1.548</v>
      </c>
      <c r="J86" s="10">
        <v>1.1499999999999999</v>
      </c>
      <c r="K86" s="9">
        <f t="shared" si="5"/>
        <v>1.7802</v>
      </c>
      <c r="L86" s="11">
        <v>0.1</v>
      </c>
      <c r="M86" s="15">
        <f t="shared" si="3"/>
        <v>1.9582200000000001</v>
      </c>
    </row>
    <row r="87" spans="1:13" x14ac:dyDescent="0.25">
      <c r="A87" s="5" t="s">
        <v>174</v>
      </c>
      <c r="B87" s="6" t="s">
        <v>175</v>
      </c>
      <c r="C87" s="6" t="str">
        <f>VLOOKUP(A87,'[1]PRECIOS NUEVOS'!$A:$C,3,0)</f>
        <v xml:space="preserve">piñon 36 </v>
      </c>
      <c r="D87" s="5">
        <v>1</v>
      </c>
      <c r="E87" s="5">
        <v>19</v>
      </c>
      <c r="F87" s="5">
        <v>33</v>
      </c>
      <c r="G87" s="11">
        <v>0.17</v>
      </c>
      <c r="H87" s="11">
        <v>0.12</v>
      </c>
      <c r="I87" s="8">
        <f t="shared" si="4"/>
        <v>24.51</v>
      </c>
      <c r="J87" s="10">
        <v>1.1499999999999999</v>
      </c>
      <c r="K87" s="9">
        <f t="shared" si="5"/>
        <v>28.186499999999999</v>
      </c>
      <c r="L87" s="11">
        <v>0.1</v>
      </c>
      <c r="M87" s="15">
        <f t="shared" si="3"/>
        <v>31.00515</v>
      </c>
    </row>
    <row r="88" spans="1:13" x14ac:dyDescent="0.25">
      <c r="A88" s="5" t="s">
        <v>176</v>
      </c>
      <c r="B88" s="6" t="s">
        <v>177</v>
      </c>
      <c r="C88" s="6" t="str">
        <f>VLOOKUP(A88,'[1]PRECIOS NUEVOS'!$A:$C,3,0)</f>
        <v>piñon 37</v>
      </c>
      <c r="D88" s="5">
        <v>1</v>
      </c>
      <c r="E88" s="5">
        <v>19</v>
      </c>
      <c r="F88" s="5">
        <v>33</v>
      </c>
      <c r="G88" s="11">
        <v>0.17</v>
      </c>
      <c r="H88" s="11">
        <v>0.12</v>
      </c>
      <c r="I88" s="8">
        <f t="shared" si="4"/>
        <v>24.51</v>
      </c>
      <c r="J88" s="10">
        <v>1.1499999999999999</v>
      </c>
      <c r="K88" s="9">
        <f t="shared" si="5"/>
        <v>28.186499999999999</v>
      </c>
      <c r="L88" s="11">
        <v>0.1</v>
      </c>
      <c r="M88" s="15">
        <f t="shared" si="3"/>
        <v>31.00515</v>
      </c>
    </row>
    <row r="89" spans="1:13" x14ac:dyDescent="0.25">
      <c r="A89" s="5" t="s">
        <v>178</v>
      </c>
      <c r="B89" s="6" t="s">
        <v>179</v>
      </c>
      <c r="C89" s="6" t="str">
        <f>VLOOKUP(A89,'[1]PRECIOS NUEVOS'!$A:$C,3,0)</f>
        <v>piñon 35</v>
      </c>
      <c r="D89" s="5">
        <v>1</v>
      </c>
      <c r="E89" s="5">
        <v>19</v>
      </c>
      <c r="F89" s="5">
        <v>33</v>
      </c>
      <c r="G89" s="11">
        <v>0.17</v>
      </c>
      <c r="H89" s="11">
        <v>0.12</v>
      </c>
      <c r="I89" s="8">
        <f t="shared" si="4"/>
        <v>24.51</v>
      </c>
      <c r="J89" s="10">
        <v>1.1499999999999999</v>
      </c>
      <c r="K89" s="9">
        <f t="shared" si="5"/>
        <v>28.186499999999999</v>
      </c>
      <c r="L89" s="11">
        <v>0.1</v>
      </c>
      <c r="M89" s="15">
        <f t="shared" si="3"/>
        <v>31.00515</v>
      </c>
    </row>
    <row r="90" spans="1:13" x14ac:dyDescent="0.25">
      <c r="A90" s="5" t="s">
        <v>180</v>
      </c>
      <c r="B90" s="6" t="s">
        <v>181</v>
      </c>
      <c r="C90" s="6" t="str">
        <f>VLOOKUP(A90,'[1]PRECIOS NUEVOS'!$A:$C,3,0)</f>
        <v>ceger de tornillo de embrague</v>
      </c>
      <c r="D90" s="5">
        <v>4</v>
      </c>
      <c r="E90" s="5">
        <v>1.3</v>
      </c>
      <c r="F90" s="5">
        <v>2.5</v>
      </c>
      <c r="G90" s="11">
        <v>0.17</v>
      </c>
      <c r="H90" s="11">
        <v>0.12</v>
      </c>
      <c r="I90" s="8">
        <f t="shared" si="4"/>
        <v>1.677</v>
      </c>
      <c r="J90" s="10">
        <v>1.1499999999999999</v>
      </c>
      <c r="K90" s="9">
        <f t="shared" si="5"/>
        <v>1.92855</v>
      </c>
      <c r="L90" s="11">
        <v>0.1</v>
      </c>
      <c r="M90" s="15">
        <f t="shared" si="3"/>
        <v>2.1214050000000002</v>
      </c>
    </row>
    <row r="91" spans="1:13" x14ac:dyDescent="0.25">
      <c r="A91" s="5" t="s">
        <v>182</v>
      </c>
      <c r="B91" s="6" t="s">
        <v>183</v>
      </c>
      <c r="C91" s="6" t="str">
        <f>VLOOKUP(A91,'[1]PRECIOS NUEVOS'!$A:$C,3,0)</f>
        <v>campana</v>
      </c>
      <c r="D91" s="5">
        <v>1</v>
      </c>
      <c r="E91" s="5">
        <v>29</v>
      </c>
      <c r="F91" s="5">
        <v>50</v>
      </c>
      <c r="G91" s="11">
        <v>0.17</v>
      </c>
      <c r="H91" s="11">
        <v>0.12</v>
      </c>
      <c r="I91" s="8">
        <f t="shared" si="4"/>
        <v>37.410000000000004</v>
      </c>
      <c r="J91" s="10">
        <v>1.1499999999999999</v>
      </c>
      <c r="K91" s="9">
        <f t="shared" si="5"/>
        <v>43.021500000000003</v>
      </c>
      <c r="L91" s="11">
        <v>0.1</v>
      </c>
      <c r="M91" s="15">
        <f t="shared" si="3"/>
        <v>47.323650000000008</v>
      </c>
    </row>
    <row r="92" spans="1:13" ht="30" x14ac:dyDescent="0.25">
      <c r="A92" s="5" t="s">
        <v>184</v>
      </c>
      <c r="B92" s="6" t="s">
        <v>185</v>
      </c>
      <c r="C92" s="6" t="str">
        <f>VLOOKUP(A92,'[1]PRECIOS NUEVOS'!$A:$C,3,0)</f>
        <v>prisionero de tornillo de embrague</v>
      </c>
      <c r="D92" s="5">
        <v>2</v>
      </c>
      <c r="E92" s="5">
        <v>2.75</v>
      </c>
      <c r="F92" s="5">
        <v>5</v>
      </c>
      <c r="G92" s="11">
        <v>0.17</v>
      </c>
      <c r="H92" s="11">
        <v>0.12</v>
      </c>
      <c r="I92" s="8">
        <f t="shared" si="4"/>
        <v>3.5475000000000003</v>
      </c>
      <c r="J92" s="10">
        <v>1.1499999999999999</v>
      </c>
      <c r="K92" s="9">
        <f t="shared" si="5"/>
        <v>4.0796250000000001</v>
      </c>
      <c r="L92" s="11">
        <v>0.1</v>
      </c>
      <c r="M92" s="15">
        <f t="shared" si="3"/>
        <v>4.4875875000000001</v>
      </c>
    </row>
    <row r="93" spans="1:13" x14ac:dyDescent="0.25">
      <c r="A93" s="5" t="s">
        <v>186</v>
      </c>
      <c r="B93" s="6" t="s">
        <v>187</v>
      </c>
      <c r="C93" s="6" t="str">
        <f>VLOOKUP(A93,'[1]PRECIOS NUEVOS'!$A:$C,3,0)</f>
        <v>acople de motor sin columnas</v>
      </c>
      <c r="D93" s="5">
        <v>1</v>
      </c>
      <c r="E93" s="5">
        <v>33</v>
      </c>
      <c r="F93" s="5">
        <v>57.5</v>
      </c>
      <c r="G93" s="11">
        <v>0.17</v>
      </c>
      <c r="H93" s="11">
        <v>0.12</v>
      </c>
      <c r="I93" s="8">
        <f t="shared" si="4"/>
        <v>42.57</v>
      </c>
      <c r="J93" s="10">
        <v>1.1499999999999999</v>
      </c>
      <c r="K93" s="9">
        <f t="shared" si="5"/>
        <v>48.955499999999994</v>
      </c>
      <c r="L93" s="11">
        <v>0.1</v>
      </c>
      <c r="M93" s="15">
        <f t="shared" si="3"/>
        <v>53.851050000000001</v>
      </c>
    </row>
    <row r="94" spans="1:13" x14ac:dyDescent="0.25">
      <c r="A94" s="5" t="s">
        <v>188</v>
      </c>
      <c r="B94" s="6" t="s">
        <v>189</v>
      </c>
      <c r="C94" s="6" t="str">
        <f>VLOOKUP(A94,'[1]PRECIOS NUEVOS'!$A:$C,3,0)</f>
        <v>tornillos de acople de motor</v>
      </c>
      <c r="D94" s="5">
        <v>8</v>
      </c>
      <c r="E94" s="5">
        <v>1.65</v>
      </c>
      <c r="F94" s="5">
        <v>3.8</v>
      </c>
      <c r="G94" s="11">
        <v>0.17</v>
      </c>
      <c r="H94" s="11">
        <v>0.12</v>
      </c>
      <c r="I94" s="8">
        <f t="shared" si="4"/>
        <v>2.1284999999999998</v>
      </c>
      <c r="J94" s="10">
        <v>1.1499999999999999</v>
      </c>
      <c r="K94" s="9">
        <f t="shared" si="5"/>
        <v>2.4477749999999996</v>
      </c>
      <c r="L94" s="11">
        <v>0.1</v>
      </c>
      <c r="M94" s="15">
        <f t="shared" si="3"/>
        <v>2.6925524999999997</v>
      </c>
    </row>
    <row r="95" spans="1:13" x14ac:dyDescent="0.25">
      <c r="A95" s="5" t="s">
        <v>190</v>
      </c>
      <c r="B95" s="6" t="s">
        <v>191</v>
      </c>
      <c r="C95" s="6">
        <f>VLOOKUP(A95,'[1]PRECIOS NUEVOS'!$A:$C,3,0)</f>
        <v>0</v>
      </c>
      <c r="D95" s="5">
        <v>8</v>
      </c>
      <c r="E95" s="5">
        <v>1.65</v>
      </c>
      <c r="F95" s="5">
        <v>3.8</v>
      </c>
      <c r="G95" s="11">
        <v>0.17</v>
      </c>
      <c r="H95" s="11">
        <v>0.12</v>
      </c>
      <c r="I95" s="8">
        <f t="shared" si="4"/>
        <v>2.1284999999999998</v>
      </c>
      <c r="J95" s="10">
        <v>1.1499999999999999</v>
      </c>
      <c r="K95" s="9">
        <f t="shared" si="5"/>
        <v>2.4477749999999996</v>
      </c>
      <c r="L95" s="11">
        <v>0.1</v>
      </c>
      <c r="M95" s="15">
        <f t="shared" si="3"/>
        <v>2.6925524999999997</v>
      </c>
    </row>
    <row r="96" spans="1:13" x14ac:dyDescent="0.25">
      <c r="A96" s="5" t="s">
        <v>192</v>
      </c>
      <c r="B96" s="6" t="s">
        <v>193</v>
      </c>
      <c r="C96" s="6" t="str">
        <f>VLOOKUP(A96,'[1]PRECIOS NUEVOS'!$A:$C,3,0)</f>
        <v>arandera de motor ( abajo)</v>
      </c>
      <c r="D96" s="5">
        <v>4</v>
      </c>
      <c r="E96" s="5">
        <v>4.5</v>
      </c>
      <c r="F96" s="5">
        <v>8.3000000000000007</v>
      </c>
      <c r="G96" s="11">
        <v>0.17</v>
      </c>
      <c r="H96" s="11">
        <v>0.12</v>
      </c>
      <c r="I96" s="8">
        <f t="shared" si="4"/>
        <v>5.8049999999999997</v>
      </c>
      <c r="J96" s="10">
        <v>1.1499999999999999</v>
      </c>
      <c r="K96" s="9">
        <f t="shared" si="5"/>
        <v>6.675749999999999</v>
      </c>
      <c r="L96" s="11">
        <v>0.1</v>
      </c>
      <c r="M96" s="15">
        <f t="shared" si="3"/>
        <v>7.3433249999999992</v>
      </c>
    </row>
    <row r="97" spans="1:13" x14ac:dyDescent="0.25">
      <c r="A97" s="5" t="s">
        <v>194</v>
      </c>
      <c r="B97" s="6" t="s">
        <v>195</v>
      </c>
      <c r="C97" s="6" t="str">
        <f>VLOOKUP(A97,'[1]PRECIOS NUEVOS'!$A:$C,3,0)</f>
        <v>ceger de corona</v>
      </c>
      <c r="D97" s="5">
        <v>4</v>
      </c>
      <c r="E97" s="5">
        <v>1.4</v>
      </c>
      <c r="F97" s="5">
        <v>2.6</v>
      </c>
      <c r="G97" s="11">
        <v>0.17</v>
      </c>
      <c r="H97" s="11">
        <v>0.12</v>
      </c>
      <c r="I97" s="8">
        <f t="shared" si="4"/>
        <v>1.8059999999999998</v>
      </c>
      <c r="J97" s="10">
        <v>1.1499999999999999</v>
      </c>
      <c r="K97" s="9">
        <f t="shared" si="5"/>
        <v>2.0768999999999997</v>
      </c>
      <c r="L97" s="11">
        <v>0.1</v>
      </c>
      <c r="M97" s="15">
        <f t="shared" si="3"/>
        <v>2.2845900000000001</v>
      </c>
    </row>
    <row r="98" spans="1:13" x14ac:dyDescent="0.25">
      <c r="A98" s="5" t="s">
        <v>196</v>
      </c>
      <c r="B98" s="6" t="s">
        <v>197</v>
      </c>
      <c r="C98" s="6" t="str">
        <f>VLOOKUP(A98,'[1]PRECIOS NUEVOS'!$A:$C,3,0)</f>
        <v>corona</v>
      </c>
      <c r="D98" s="5">
        <v>1</v>
      </c>
      <c r="E98" s="5">
        <v>35</v>
      </c>
      <c r="F98" s="5">
        <v>61</v>
      </c>
      <c r="G98" s="11">
        <v>0.17</v>
      </c>
      <c r="H98" s="11">
        <v>0.12</v>
      </c>
      <c r="I98" s="8">
        <f t="shared" si="4"/>
        <v>45.15</v>
      </c>
      <c r="J98" s="10">
        <v>1.1499999999999999</v>
      </c>
      <c r="K98" s="9">
        <f t="shared" si="5"/>
        <v>51.922499999999992</v>
      </c>
      <c r="L98" s="11">
        <v>0.1</v>
      </c>
      <c r="M98" s="15">
        <f t="shared" si="3"/>
        <v>57.114749999999994</v>
      </c>
    </row>
    <row r="99" spans="1:13" x14ac:dyDescent="0.25">
      <c r="A99" s="5" t="s">
        <v>198</v>
      </c>
      <c r="B99" s="6" t="s">
        <v>199</v>
      </c>
      <c r="C99" s="6" t="str">
        <f>VLOOKUP(A99,'[1]PRECIOS NUEVOS'!$A:$C,3,0)</f>
        <v>eje medio</v>
      </c>
      <c r="D99" s="5">
        <v>1</v>
      </c>
      <c r="E99" s="5">
        <v>28</v>
      </c>
      <c r="F99" s="5">
        <v>49</v>
      </c>
      <c r="G99" s="11">
        <v>0.17</v>
      </c>
      <c r="H99" s="11">
        <v>0.12</v>
      </c>
      <c r="I99" s="8">
        <f t="shared" si="4"/>
        <v>36.120000000000005</v>
      </c>
      <c r="J99" s="10">
        <v>1.1499999999999999</v>
      </c>
      <c r="K99" s="9">
        <f t="shared" si="5"/>
        <v>41.538000000000004</v>
      </c>
      <c r="L99" s="11">
        <v>0.1</v>
      </c>
      <c r="M99" s="15">
        <f t="shared" si="3"/>
        <v>45.691800000000008</v>
      </c>
    </row>
    <row r="100" spans="1:13" x14ac:dyDescent="0.25">
      <c r="A100" s="5" t="s">
        <v>200</v>
      </c>
      <c r="B100" s="6" t="s">
        <v>201</v>
      </c>
      <c r="C100" s="6" t="str">
        <f>VLOOKUP(A100,'[1]PRECIOS NUEVOS'!$A:$C,3,0)</f>
        <v>rodamiento eje medio</v>
      </c>
      <c r="D100" s="5">
        <v>1</v>
      </c>
      <c r="E100" s="5">
        <v>5</v>
      </c>
      <c r="F100" s="5">
        <v>9.1999999999999993</v>
      </c>
      <c r="G100" s="11">
        <v>0.17</v>
      </c>
      <c r="H100" s="11">
        <v>0.12</v>
      </c>
      <c r="I100" s="8">
        <f t="shared" si="4"/>
        <v>6.45</v>
      </c>
      <c r="J100" s="10">
        <v>1.1499999999999999</v>
      </c>
      <c r="K100" s="9">
        <f t="shared" si="5"/>
        <v>7.4174999999999995</v>
      </c>
      <c r="L100" s="11">
        <v>0.1</v>
      </c>
      <c r="M100" s="15">
        <f t="shared" si="3"/>
        <v>8.1592500000000001</v>
      </c>
    </row>
    <row r="101" spans="1:13" ht="30" x14ac:dyDescent="0.25">
      <c r="A101" s="5" t="s">
        <v>202</v>
      </c>
      <c r="B101" s="6" t="s">
        <v>203</v>
      </c>
      <c r="C101" s="6" t="str">
        <f>VLOOKUP(A101,'[1]PRECIOS NUEVOS'!$A:$C,3,0)</f>
        <v xml:space="preserve">pieza donde van rodamientos de eje medio </v>
      </c>
      <c r="D101" s="5">
        <v>1</v>
      </c>
      <c r="E101" s="5">
        <v>15.5</v>
      </c>
      <c r="F101" s="5">
        <v>27</v>
      </c>
      <c r="G101" s="11">
        <v>0.17</v>
      </c>
      <c r="H101" s="11">
        <v>0.12</v>
      </c>
      <c r="I101" s="8">
        <f t="shared" si="4"/>
        <v>19.995000000000001</v>
      </c>
      <c r="J101" s="10">
        <v>1.1499999999999999</v>
      </c>
      <c r="K101" s="9">
        <f t="shared" si="5"/>
        <v>22.994250000000001</v>
      </c>
      <c r="L101" s="11">
        <v>0.1</v>
      </c>
      <c r="M101" s="15">
        <f t="shared" si="3"/>
        <v>25.293675000000004</v>
      </c>
    </row>
    <row r="102" spans="1:13" x14ac:dyDescent="0.25">
      <c r="A102" s="5" t="s">
        <v>204</v>
      </c>
      <c r="B102" s="6" t="s">
        <v>205</v>
      </c>
      <c r="C102" s="6" t="str">
        <f>VLOOKUP(A102,'[1]PRECIOS NUEVOS'!$A:$C,3,0)</f>
        <v>piñon eje medio 24</v>
      </c>
      <c r="D102" s="5">
        <v>1</v>
      </c>
      <c r="E102" s="5">
        <v>24</v>
      </c>
      <c r="F102" s="5">
        <v>41.8</v>
      </c>
      <c r="G102" s="11">
        <v>0.17</v>
      </c>
      <c r="H102" s="11">
        <v>0.12</v>
      </c>
      <c r="I102" s="8">
        <f t="shared" si="4"/>
        <v>30.96</v>
      </c>
      <c r="J102" s="10">
        <v>1.1499999999999999</v>
      </c>
      <c r="K102" s="9">
        <f t="shared" si="5"/>
        <v>35.603999999999999</v>
      </c>
      <c r="L102" s="11">
        <v>0.1</v>
      </c>
      <c r="M102" s="15">
        <f t="shared" si="3"/>
        <v>39.164400000000001</v>
      </c>
    </row>
    <row r="103" spans="1:13" x14ac:dyDescent="0.25">
      <c r="A103" s="5" t="s">
        <v>206</v>
      </c>
      <c r="B103" s="6" t="s">
        <v>207</v>
      </c>
      <c r="C103" s="6" t="str">
        <f>VLOOKUP(A103,'[1]PRECIOS NUEVOS'!$A:$C,3,0)</f>
        <v>bancada trasera izquierda</v>
      </c>
      <c r="D103" s="5">
        <v>1</v>
      </c>
      <c r="E103" s="5">
        <v>44</v>
      </c>
      <c r="F103" s="5">
        <v>76.5</v>
      </c>
      <c r="G103" s="11">
        <v>0.17</v>
      </c>
      <c r="H103" s="11">
        <v>0.12</v>
      </c>
      <c r="I103" s="8">
        <f t="shared" si="4"/>
        <v>56.760000000000005</v>
      </c>
      <c r="J103" s="10">
        <v>1.1499999999999999</v>
      </c>
      <c r="K103" s="9">
        <f t="shared" si="5"/>
        <v>65.274000000000001</v>
      </c>
      <c r="L103" s="11">
        <v>0.1</v>
      </c>
      <c r="M103" s="15">
        <f t="shared" si="3"/>
        <v>71.801400000000001</v>
      </c>
    </row>
    <row r="104" spans="1:13" x14ac:dyDescent="0.25">
      <c r="A104" s="5" t="s">
        <v>208</v>
      </c>
      <c r="B104" s="6" t="s">
        <v>209</v>
      </c>
      <c r="C104" s="6" t="str">
        <f>VLOOKUP(A104,'[1]PRECIOS NUEVOS'!$A:$C,3,0)</f>
        <v>soporte de rodamientos de diff</v>
      </c>
      <c r="D104" s="5">
        <v>1</v>
      </c>
      <c r="E104" s="5">
        <v>26.5</v>
      </c>
      <c r="F104" s="5">
        <v>46</v>
      </c>
      <c r="G104" s="11">
        <v>0.17</v>
      </c>
      <c r="H104" s="11">
        <v>0.12</v>
      </c>
      <c r="I104" s="8">
        <f t="shared" si="4"/>
        <v>34.185000000000002</v>
      </c>
      <c r="J104" s="10">
        <v>1.1499999999999999</v>
      </c>
      <c r="K104" s="9">
        <f t="shared" si="5"/>
        <v>39.312750000000001</v>
      </c>
      <c r="L104" s="11">
        <v>0.1</v>
      </c>
      <c r="M104" s="15">
        <f t="shared" si="3"/>
        <v>43.244025000000008</v>
      </c>
    </row>
    <row r="105" spans="1:13" x14ac:dyDescent="0.25">
      <c r="A105" s="5" t="s">
        <v>210</v>
      </c>
      <c r="B105" s="6" t="s">
        <v>211</v>
      </c>
      <c r="C105" s="6" t="str">
        <f>VLOOKUP(A105,'[1]PRECIOS NUEVOS'!$A:$C,3,0)</f>
        <v>eje de parrilla superior trasera</v>
      </c>
      <c r="D105" s="5">
        <v>2</v>
      </c>
      <c r="E105" s="5">
        <v>4.2</v>
      </c>
      <c r="F105" s="5">
        <v>7.7</v>
      </c>
      <c r="G105" s="11">
        <v>0.17</v>
      </c>
      <c r="H105" s="11">
        <v>0.12</v>
      </c>
      <c r="I105" s="8">
        <f t="shared" si="4"/>
        <v>5.4180000000000001</v>
      </c>
      <c r="J105" s="10">
        <v>1.1499999999999999</v>
      </c>
      <c r="K105" s="9">
        <f t="shared" si="5"/>
        <v>6.2306999999999997</v>
      </c>
      <c r="L105" s="11">
        <v>0.1</v>
      </c>
      <c r="M105" s="15">
        <f t="shared" si="3"/>
        <v>6.8537699999999999</v>
      </c>
    </row>
    <row r="106" spans="1:13" x14ac:dyDescent="0.25">
      <c r="A106" s="5" t="s">
        <v>212</v>
      </c>
      <c r="B106" s="6" t="s">
        <v>213</v>
      </c>
      <c r="C106" s="6" t="str">
        <f>VLOOKUP(A106,'[1]PRECIOS NUEVOS'!$A:$C,3,0)</f>
        <v>parrilla trasera superior</v>
      </c>
      <c r="D106" s="5">
        <v>1</v>
      </c>
      <c r="E106" s="5">
        <v>17</v>
      </c>
      <c r="F106" s="5">
        <v>29.6</v>
      </c>
      <c r="G106" s="11">
        <v>0.17</v>
      </c>
      <c r="H106" s="11">
        <v>0.12</v>
      </c>
      <c r="I106" s="8">
        <f t="shared" si="4"/>
        <v>21.93</v>
      </c>
      <c r="J106" s="10">
        <v>1.1499999999999999</v>
      </c>
      <c r="K106" s="9">
        <f t="shared" si="5"/>
        <v>25.219499999999996</v>
      </c>
      <c r="L106" s="11">
        <v>0.1</v>
      </c>
      <c r="M106" s="15">
        <f t="shared" si="3"/>
        <v>27.741449999999997</v>
      </c>
    </row>
    <row r="107" spans="1:13" x14ac:dyDescent="0.25">
      <c r="A107" s="5" t="s">
        <v>214</v>
      </c>
      <c r="B107" s="6" t="s">
        <v>215</v>
      </c>
      <c r="C107" s="6" t="str">
        <f>VLOOKUP(A107,'[1]PRECIOS NUEVOS'!$A:$C,3,0)</f>
        <v>masa trasera izquierda</v>
      </c>
      <c r="D107" s="5">
        <v>1</v>
      </c>
      <c r="E107" s="5">
        <v>38.5</v>
      </c>
      <c r="F107" s="5">
        <v>67</v>
      </c>
      <c r="G107" s="11">
        <v>0.17</v>
      </c>
      <c r="H107" s="11">
        <v>0.12</v>
      </c>
      <c r="I107" s="8">
        <f t="shared" si="4"/>
        <v>49.664999999999999</v>
      </c>
      <c r="J107" s="10">
        <v>1.1499999999999999</v>
      </c>
      <c r="K107" s="9">
        <f t="shared" si="5"/>
        <v>57.114749999999994</v>
      </c>
      <c r="L107" s="11">
        <v>0.1</v>
      </c>
      <c r="M107" s="15">
        <f t="shared" si="3"/>
        <v>62.826225000000001</v>
      </c>
    </row>
    <row r="108" spans="1:13" x14ac:dyDescent="0.25">
      <c r="A108" s="5" t="s">
        <v>216</v>
      </c>
      <c r="B108" s="6" t="s">
        <v>217</v>
      </c>
      <c r="C108" s="6" t="str">
        <f>VLOOKUP(A108,'[1]PRECIOS NUEVOS'!$A:$C,3,0)</f>
        <v>masa trasera derecha</v>
      </c>
      <c r="D108" s="5">
        <v>1</v>
      </c>
      <c r="E108" s="5">
        <v>38.5</v>
      </c>
      <c r="F108" s="5">
        <v>67</v>
      </c>
      <c r="G108" s="11">
        <v>0.17</v>
      </c>
      <c r="H108" s="11">
        <v>0.12</v>
      </c>
      <c r="I108" s="8">
        <f t="shared" si="4"/>
        <v>49.664999999999999</v>
      </c>
      <c r="J108" s="10">
        <v>1.1499999999999999</v>
      </c>
      <c r="K108" s="9">
        <f t="shared" si="5"/>
        <v>57.114749999999994</v>
      </c>
      <c r="L108" s="11">
        <v>0.1</v>
      </c>
      <c r="M108" s="15">
        <f t="shared" si="3"/>
        <v>62.826225000000001</v>
      </c>
    </row>
    <row r="109" spans="1:13" ht="30" x14ac:dyDescent="0.25">
      <c r="A109" s="5" t="s">
        <v>218</v>
      </c>
      <c r="B109" s="6" t="s">
        <v>219</v>
      </c>
      <c r="C109" s="6" t="str">
        <f>VLOOKUP(A109,'[1]PRECIOS NUEVOS'!$A:$C,3,0)</f>
        <v xml:space="preserve">espaciador de rodamientos de masa </v>
      </c>
      <c r="D109" s="5">
        <v>2</v>
      </c>
      <c r="E109" s="5">
        <v>3.2</v>
      </c>
      <c r="F109" s="5">
        <v>5.9</v>
      </c>
      <c r="G109" s="11">
        <v>0.17</v>
      </c>
      <c r="H109" s="11">
        <v>0.12</v>
      </c>
      <c r="I109" s="8">
        <f t="shared" si="4"/>
        <v>4.1280000000000001</v>
      </c>
      <c r="J109" s="10">
        <v>1.1499999999999999</v>
      </c>
      <c r="K109" s="9">
        <f t="shared" si="5"/>
        <v>4.7471999999999994</v>
      </c>
      <c r="L109" s="11">
        <v>0.1</v>
      </c>
      <c r="M109" s="15">
        <f t="shared" si="3"/>
        <v>5.2219199999999999</v>
      </c>
    </row>
    <row r="110" spans="1:13" x14ac:dyDescent="0.25">
      <c r="A110" s="5" t="s">
        <v>220</v>
      </c>
      <c r="B110" s="6" t="s">
        <v>221</v>
      </c>
      <c r="C110" s="6" t="str">
        <f>VLOOKUP(A110,'[1]PRECIOS NUEVOS'!$A:$C,3,0)</f>
        <v>cubos de 11.5 traseros</v>
      </c>
      <c r="D110" s="5">
        <v>1</v>
      </c>
      <c r="E110" s="5">
        <v>9.5</v>
      </c>
      <c r="F110" s="5">
        <v>17.5</v>
      </c>
      <c r="G110" s="11">
        <v>0.17</v>
      </c>
      <c r="H110" s="11">
        <v>0.12</v>
      </c>
      <c r="I110" s="8">
        <f t="shared" si="4"/>
        <v>12.255000000000001</v>
      </c>
      <c r="J110" s="10">
        <v>1.1499999999999999</v>
      </c>
      <c r="K110" s="9">
        <f t="shared" si="5"/>
        <v>14.093249999999999</v>
      </c>
      <c r="L110" s="11">
        <v>0.1</v>
      </c>
      <c r="M110" s="15">
        <f t="shared" si="3"/>
        <v>15.502575</v>
      </c>
    </row>
    <row r="111" spans="1:13" x14ac:dyDescent="0.25">
      <c r="A111" s="5" t="s">
        <v>222</v>
      </c>
      <c r="B111" s="6" t="s">
        <v>223</v>
      </c>
      <c r="C111" s="6" t="str">
        <f>VLOOKUP(A111,'[1]PRECIOS NUEVOS'!$A:$C,3,0)</f>
        <v>eje de rueda trasero</v>
      </c>
      <c r="D111" s="5">
        <v>1</v>
      </c>
      <c r="E111" s="5">
        <v>13.2</v>
      </c>
      <c r="F111" s="5">
        <v>23</v>
      </c>
      <c r="G111" s="11">
        <v>0.17</v>
      </c>
      <c r="H111" s="11">
        <v>0.12</v>
      </c>
      <c r="I111" s="8">
        <f t="shared" si="4"/>
        <v>17.027999999999999</v>
      </c>
      <c r="J111" s="10">
        <v>1.1499999999999999</v>
      </c>
      <c r="K111" s="9">
        <f t="shared" si="5"/>
        <v>19.582199999999997</v>
      </c>
      <c r="L111" s="11">
        <v>0.1</v>
      </c>
      <c r="M111" s="15">
        <f t="shared" si="3"/>
        <v>21.540419999999997</v>
      </c>
    </row>
    <row r="112" spans="1:13" x14ac:dyDescent="0.25">
      <c r="A112" s="5" t="s">
        <v>224</v>
      </c>
      <c r="B112" s="6" t="s">
        <v>225</v>
      </c>
      <c r="C112" s="6" t="str">
        <f>VLOOKUP(A112,'[1]PRECIOS NUEVOS'!$A:$C,3,0)</f>
        <v xml:space="preserve">alinear de 1-3 </v>
      </c>
      <c r="D112" s="5">
        <v>4</v>
      </c>
      <c r="E112" s="5">
        <v>17</v>
      </c>
      <c r="F112" s="5">
        <v>29.5</v>
      </c>
      <c r="G112" s="11">
        <v>0.17</v>
      </c>
      <c r="H112" s="11">
        <v>0.12</v>
      </c>
      <c r="I112" s="8">
        <f t="shared" si="4"/>
        <v>21.93</v>
      </c>
      <c r="J112" s="10">
        <v>1.1499999999999999</v>
      </c>
      <c r="K112" s="9">
        <f t="shared" si="5"/>
        <v>25.219499999999996</v>
      </c>
      <c r="L112" s="11">
        <v>0.1</v>
      </c>
      <c r="M112" s="15">
        <f t="shared" si="3"/>
        <v>27.741449999999997</v>
      </c>
    </row>
    <row r="113" spans="1:13" x14ac:dyDescent="0.25">
      <c r="A113" s="5" t="s">
        <v>226</v>
      </c>
      <c r="B113" s="6" t="s">
        <v>227</v>
      </c>
      <c r="C113" s="6" t="str">
        <f>VLOOKUP(A113,'[1]PRECIOS NUEVOS'!$A:$C,3,0)</f>
        <v>alinear de 1.5 - 2.5</v>
      </c>
      <c r="D113" s="5">
        <v>4</v>
      </c>
      <c r="E113" s="5">
        <v>17</v>
      </c>
      <c r="F113" s="5">
        <v>29.5</v>
      </c>
      <c r="G113" s="11">
        <v>0.17</v>
      </c>
      <c r="H113" s="11">
        <v>0.12</v>
      </c>
      <c r="I113" s="8">
        <f t="shared" si="4"/>
        <v>21.93</v>
      </c>
      <c r="J113" s="10">
        <v>1.1499999999999999</v>
      </c>
      <c r="K113" s="9">
        <f t="shared" si="5"/>
        <v>25.219499999999996</v>
      </c>
      <c r="L113" s="11">
        <v>0.1</v>
      </c>
      <c r="M113" s="15">
        <f t="shared" si="3"/>
        <v>27.741449999999997</v>
      </c>
    </row>
    <row r="114" spans="1:13" x14ac:dyDescent="0.25">
      <c r="A114" s="5" t="s">
        <v>228</v>
      </c>
      <c r="B114" s="6" t="s">
        <v>229</v>
      </c>
      <c r="C114" s="6" t="str">
        <f>VLOOKUP(A114,'[1]PRECIOS NUEVOS'!$A:$C,3,0)</f>
        <v>alinear 2</v>
      </c>
      <c r="D114" s="5">
        <v>4</v>
      </c>
      <c r="E114" s="5">
        <v>17</v>
      </c>
      <c r="F114" s="5">
        <v>29.5</v>
      </c>
      <c r="G114" s="11">
        <v>0.17</v>
      </c>
      <c r="H114" s="11">
        <v>0.12</v>
      </c>
      <c r="I114" s="8">
        <f t="shared" si="4"/>
        <v>21.93</v>
      </c>
      <c r="J114" s="10">
        <v>1.1499999999999999</v>
      </c>
      <c r="K114" s="9">
        <f t="shared" si="5"/>
        <v>25.219499999999996</v>
      </c>
      <c r="L114" s="11">
        <v>0.1</v>
      </c>
      <c r="M114" s="15">
        <f t="shared" si="3"/>
        <v>27.741449999999997</v>
      </c>
    </row>
    <row r="115" spans="1:13" x14ac:dyDescent="0.25">
      <c r="A115" s="5" t="s">
        <v>230</v>
      </c>
      <c r="B115" s="6" t="s">
        <v>231</v>
      </c>
      <c r="C115" s="6" t="str">
        <f>VLOOKUP(A115,'[1]PRECIOS NUEVOS'!$A:$C,3,0)</f>
        <v>alinear 3.5 - 0.5</v>
      </c>
      <c r="D115" s="5">
        <v>4</v>
      </c>
      <c r="E115" s="5">
        <v>17</v>
      </c>
      <c r="F115" s="5">
        <v>29.5</v>
      </c>
      <c r="G115" s="11">
        <v>0.17</v>
      </c>
      <c r="H115" s="11">
        <v>0.12</v>
      </c>
      <c r="I115" s="8">
        <f t="shared" si="4"/>
        <v>21.93</v>
      </c>
      <c r="J115" s="10">
        <v>1.1499999999999999</v>
      </c>
      <c r="K115" s="9">
        <f t="shared" si="5"/>
        <v>25.219499999999996</v>
      </c>
      <c r="L115" s="11">
        <v>0.1</v>
      </c>
      <c r="M115" s="15">
        <f t="shared" si="3"/>
        <v>27.741449999999997</v>
      </c>
    </row>
    <row r="116" spans="1:13" x14ac:dyDescent="0.25">
      <c r="A116" s="5" t="s">
        <v>232</v>
      </c>
      <c r="B116" s="6" t="s">
        <v>233</v>
      </c>
      <c r="C116" s="6" t="str">
        <f>VLOOKUP(A116,'[1]PRECIOS NUEVOS'!$A:$C,3,0)</f>
        <v>alinear 4.5</v>
      </c>
      <c r="D116" s="5">
        <v>4</v>
      </c>
      <c r="E116" s="5">
        <v>17</v>
      </c>
      <c r="F116" s="5">
        <v>29.5</v>
      </c>
      <c r="G116" s="11">
        <v>0.17</v>
      </c>
      <c r="H116" s="11">
        <v>0.12</v>
      </c>
      <c r="I116" s="8">
        <f t="shared" si="4"/>
        <v>21.93</v>
      </c>
      <c r="J116" s="10">
        <v>1.1499999999999999</v>
      </c>
      <c r="K116" s="9">
        <f t="shared" si="5"/>
        <v>25.219499999999996</v>
      </c>
      <c r="L116" s="11">
        <v>0.1</v>
      </c>
      <c r="M116" s="15">
        <f t="shared" si="3"/>
        <v>27.741449999999997</v>
      </c>
    </row>
    <row r="117" spans="1:13" x14ac:dyDescent="0.25">
      <c r="A117" s="5" t="s">
        <v>234</v>
      </c>
      <c r="B117" s="6" t="s">
        <v>235</v>
      </c>
      <c r="C117" s="6" t="str">
        <f>VLOOKUP(A117,'[1]PRECIOS NUEVOS'!$A:$C,3,0)</f>
        <v>alinear 4</v>
      </c>
      <c r="D117" s="5">
        <v>4</v>
      </c>
      <c r="E117" s="5">
        <v>17</v>
      </c>
      <c r="F117" s="5">
        <v>29.5</v>
      </c>
      <c r="G117" s="11">
        <v>0.17</v>
      </c>
      <c r="H117" s="11">
        <v>0.12</v>
      </c>
      <c r="I117" s="8">
        <f t="shared" si="4"/>
        <v>21.93</v>
      </c>
      <c r="J117" s="10">
        <v>1.1499999999999999</v>
      </c>
      <c r="K117" s="9">
        <f t="shared" si="5"/>
        <v>25.219499999999996</v>
      </c>
      <c r="L117" s="11">
        <v>0.1</v>
      </c>
      <c r="M117" s="15">
        <f t="shared" si="3"/>
        <v>27.741449999999997</v>
      </c>
    </row>
    <row r="118" spans="1:13" x14ac:dyDescent="0.25">
      <c r="A118" s="5" t="s">
        <v>236</v>
      </c>
      <c r="B118" s="6" t="s">
        <v>237</v>
      </c>
      <c r="C118" s="6" t="str">
        <f>VLOOKUP(A118,'[1]PRECIOS NUEVOS'!$A:$C,3,0)</f>
        <v>eje de parrilla trasera inferior</v>
      </c>
      <c r="D118" s="5">
        <v>2</v>
      </c>
      <c r="E118" s="5">
        <v>4.2</v>
      </c>
      <c r="F118" s="5">
        <v>7.7</v>
      </c>
      <c r="G118" s="11">
        <v>0.17</v>
      </c>
      <c r="H118" s="11">
        <v>0.12</v>
      </c>
      <c r="I118" s="8">
        <f t="shared" si="4"/>
        <v>5.4180000000000001</v>
      </c>
      <c r="J118" s="10">
        <v>1.1499999999999999</v>
      </c>
      <c r="K118" s="9">
        <f t="shared" si="5"/>
        <v>6.2306999999999997</v>
      </c>
      <c r="L118" s="11">
        <v>0.1</v>
      </c>
      <c r="M118" s="15">
        <f t="shared" si="3"/>
        <v>6.8537699999999999</v>
      </c>
    </row>
    <row r="119" spans="1:13" x14ac:dyDescent="0.25">
      <c r="A119" s="5" t="s">
        <v>238</v>
      </c>
      <c r="B119" s="6" t="s">
        <v>239</v>
      </c>
      <c r="C119" s="6" t="str">
        <f>VLOOKUP(A119,'[1]PRECIOS NUEVOS'!$A:$C,3,0)</f>
        <v>parrilla trasera inferior izquierda</v>
      </c>
      <c r="D119" s="5">
        <v>1</v>
      </c>
      <c r="E119" s="5">
        <v>36</v>
      </c>
      <c r="F119" s="5">
        <v>62.5</v>
      </c>
      <c r="G119" s="11">
        <v>0.17</v>
      </c>
      <c r="H119" s="11">
        <v>0.12</v>
      </c>
      <c r="I119" s="8">
        <f t="shared" si="4"/>
        <v>46.44</v>
      </c>
      <c r="J119" s="10">
        <v>1.1499999999999999</v>
      </c>
      <c r="K119" s="9">
        <f t="shared" si="5"/>
        <v>53.405999999999992</v>
      </c>
      <c r="L119" s="11">
        <v>0.1</v>
      </c>
      <c r="M119" s="15">
        <f t="shared" si="3"/>
        <v>58.746599999999994</v>
      </c>
    </row>
    <row r="120" spans="1:13" x14ac:dyDescent="0.25">
      <c r="A120" s="5" t="s">
        <v>240</v>
      </c>
      <c r="B120" s="6" t="s">
        <v>241</v>
      </c>
      <c r="C120" s="6" t="str">
        <f>VLOOKUP(A120,'[1]PRECIOS NUEVOS'!$A:$C,3,0)</f>
        <v>parrilla trasera inferior derecha</v>
      </c>
      <c r="D120" s="5">
        <v>1</v>
      </c>
      <c r="E120" s="5">
        <v>36</v>
      </c>
      <c r="F120" s="5">
        <v>62.5</v>
      </c>
      <c r="G120" s="11">
        <v>0.17</v>
      </c>
      <c r="H120" s="11">
        <v>0.12</v>
      </c>
      <c r="I120" s="8">
        <f t="shared" si="4"/>
        <v>46.44</v>
      </c>
      <c r="J120" s="10">
        <v>1.1499999999999999</v>
      </c>
      <c r="K120" s="9">
        <f t="shared" si="5"/>
        <v>53.405999999999992</v>
      </c>
      <c r="L120" s="11">
        <v>0.1</v>
      </c>
      <c r="M120" s="15">
        <f t="shared" si="3"/>
        <v>58.746599999999994</v>
      </c>
    </row>
    <row r="121" spans="1:13" x14ac:dyDescent="0.25">
      <c r="A121" s="5" t="s">
        <v>242</v>
      </c>
      <c r="B121" s="6" t="s">
        <v>243</v>
      </c>
      <c r="C121" s="6" t="str">
        <f>VLOOKUP(A121,'[1]PRECIOS NUEVOS'!$A:$C,3,0)</f>
        <v>palier</v>
      </c>
      <c r="D121" s="5">
        <v>1</v>
      </c>
      <c r="E121" s="5">
        <v>9.5</v>
      </c>
      <c r="F121" s="5">
        <v>17.5</v>
      </c>
      <c r="G121" s="11">
        <v>0.17</v>
      </c>
      <c r="H121" s="11">
        <v>0.12</v>
      </c>
      <c r="I121" s="8">
        <f t="shared" si="4"/>
        <v>12.255000000000001</v>
      </c>
      <c r="J121" s="10">
        <v>1.1499999999999999</v>
      </c>
      <c r="K121" s="9">
        <f t="shared" si="5"/>
        <v>14.093249999999999</v>
      </c>
      <c r="L121" s="11">
        <v>0.1</v>
      </c>
      <c r="M121" s="15">
        <f t="shared" si="3"/>
        <v>15.502575</v>
      </c>
    </row>
    <row r="122" spans="1:13" x14ac:dyDescent="0.25">
      <c r="A122" s="5" t="s">
        <v>244</v>
      </c>
      <c r="B122" s="6" t="s">
        <v>245</v>
      </c>
      <c r="C122" s="6" t="str">
        <f>VLOOKUP(A122,'[1]PRECIOS NUEVOS'!$A:$C,3,0)</f>
        <v>bolas de palier</v>
      </c>
      <c r="D122" s="5">
        <v>6</v>
      </c>
      <c r="E122" s="5">
        <v>3</v>
      </c>
      <c r="F122" s="5">
        <v>5.5</v>
      </c>
      <c r="G122" s="11">
        <v>0.17</v>
      </c>
      <c r="H122" s="11">
        <v>0.12</v>
      </c>
      <c r="I122" s="8">
        <f t="shared" si="4"/>
        <v>3.87</v>
      </c>
      <c r="J122" s="10">
        <v>1.1499999999999999</v>
      </c>
      <c r="K122" s="9">
        <f t="shared" si="5"/>
        <v>4.4504999999999999</v>
      </c>
      <c r="L122" s="11">
        <v>0.1</v>
      </c>
      <c r="M122" s="15">
        <f t="shared" si="3"/>
        <v>4.8955500000000001</v>
      </c>
    </row>
    <row r="123" spans="1:13" ht="30" x14ac:dyDescent="0.25">
      <c r="A123" s="5" t="s">
        <v>246</v>
      </c>
      <c r="B123" s="6" t="s">
        <v>247</v>
      </c>
      <c r="C123" s="6" t="str">
        <f>VLOOKUP(A123,'[1]PRECIOS NUEVOS'!$A:$C,3,0)</f>
        <v>posicion de amortiguador trasera 4 agujeros</v>
      </c>
      <c r="D123" s="5">
        <v>1</v>
      </c>
      <c r="E123" s="5">
        <v>14</v>
      </c>
      <c r="F123" s="5">
        <v>24.35</v>
      </c>
      <c r="G123" s="11">
        <v>0.17</v>
      </c>
      <c r="H123" s="11">
        <v>0.12</v>
      </c>
      <c r="I123" s="8">
        <f t="shared" si="4"/>
        <v>18.060000000000002</v>
      </c>
      <c r="J123" s="10">
        <v>1.1499999999999999</v>
      </c>
      <c r="K123" s="9">
        <f t="shared" si="5"/>
        <v>20.769000000000002</v>
      </c>
      <c r="L123" s="11">
        <v>0.1</v>
      </c>
      <c r="M123" s="15">
        <f t="shared" si="3"/>
        <v>22.845900000000004</v>
      </c>
    </row>
    <row r="124" spans="1:13" x14ac:dyDescent="0.25">
      <c r="A124" s="5" t="s">
        <v>248</v>
      </c>
      <c r="B124" s="6" t="s">
        <v>249</v>
      </c>
      <c r="C124" s="6">
        <f>VLOOKUP(A124,'[1]PRECIOS NUEVOS'!$A:$C,3,0)</f>
        <v>0</v>
      </c>
      <c r="D124" s="5">
        <v>1</v>
      </c>
      <c r="E124" s="5">
        <v>4</v>
      </c>
      <c r="F124" s="5">
        <v>7.5</v>
      </c>
      <c r="G124" s="11">
        <v>0.17</v>
      </c>
      <c r="H124" s="11">
        <v>0.12</v>
      </c>
      <c r="I124" s="8">
        <f t="shared" si="4"/>
        <v>5.16</v>
      </c>
      <c r="J124" s="10">
        <v>1.1499999999999999</v>
      </c>
      <c r="K124" s="9">
        <f t="shared" si="5"/>
        <v>5.9339999999999993</v>
      </c>
      <c r="L124" s="11">
        <v>0.1</v>
      </c>
      <c r="M124" s="15">
        <f t="shared" si="3"/>
        <v>6.5274000000000001</v>
      </c>
    </row>
    <row r="125" spans="1:13" x14ac:dyDescent="0.25">
      <c r="A125" s="5" t="s">
        <v>250</v>
      </c>
      <c r="B125" s="6" t="s">
        <v>251</v>
      </c>
      <c r="C125" s="6">
        <f>VLOOKUP(A125,'[1]PRECIOS NUEVOS'!$A:$C,3,0)</f>
        <v>0</v>
      </c>
      <c r="D125" s="5">
        <v>1</v>
      </c>
      <c r="E125" s="5">
        <v>8.25</v>
      </c>
      <c r="F125" s="5">
        <v>15.2</v>
      </c>
      <c r="G125" s="11">
        <v>0.17</v>
      </c>
      <c r="H125" s="11">
        <v>0.12</v>
      </c>
      <c r="I125" s="8">
        <f t="shared" si="4"/>
        <v>10.6425</v>
      </c>
      <c r="J125" s="10">
        <v>1.1499999999999999</v>
      </c>
      <c r="K125" s="9">
        <f t="shared" si="5"/>
        <v>12.238874999999998</v>
      </c>
      <c r="L125" s="11">
        <v>0.1</v>
      </c>
      <c r="M125" s="15">
        <f t="shared" si="3"/>
        <v>13.4627625</v>
      </c>
    </row>
    <row r="126" spans="1:13" x14ac:dyDescent="0.25">
      <c r="A126" s="5" t="s">
        <v>252</v>
      </c>
      <c r="B126" s="6" t="s">
        <v>253</v>
      </c>
      <c r="C126" s="6" t="str">
        <f>VLOOKUP(A126,'[1]PRECIOS NUEVOS'!$A:$C,3,0)</f>
        <v>"rodamiento" barra vieja</v>
      </c>
      <c r="D126" s="5">
        <v>1</v>
      </c>
      <c r="E126" s="5">
        <v>16</v>
      </c>
      <c r="F126" s="5">
        <v>27.8</v>
      </c>
      <c r="G126" s="11">
        <v>0.17</v>
      </c>
      <c r="H126" s="11">
        <v>0.12</v>
      </c>
      <c r="I126" s="8">
        <f t="shared" si="4"/>
        <v>20.64</v>
      </c>
      <c r="J126" s="10">
        <v>1.1499999999999999</v>
      </c>
      <c r="K126" s="9">
        <f t="shared" si="5"/>
        <v>23.735999999999997</v>
      </c>
      <c r="L126" s="11">
        <v>0.1</v>
      </c>
      <c r="M126" s="15">
        <f t="shared" si="3"/>
        <v>26.1096</v>
      </c>
    </row>
    <row r="127" spans="1:13" x14ac:dyDescent="0.25">
      <c r="A127" s="5" t="s">
        <v>254</v>
      </c>
      <c r="B127" s="6" t="s">
        <v>255</v>
      </c>
      <c r="C127" s="6">
        <f>VLOOKUP(A127,'[1]PRECIOS NUEVOS'!$A:$C,3,0)</f>
        <v>0</v>
      </c>
      <c r="D127" s="5">
        <v>6</v>
      </c>
      <c r="E127" s="5">
        <v>1.5</v>
      </c>
      <c r="F127" s="5">
        <v>3.8</v>
      </c>
      <c r="G127" s="11">
        <v>0.17</v>
      </c>
      <c r="H127" s="11">
        <v>0.12</v>
      </c>
      <c r="I127" s="8">
        <f t="shared" si="4"/>
        <v>1.9350000000000001</v>
      </c>
      <c r="J127" s="10">
        <v>1.1499999999999999</v>
      </c>
      <c r="K127" s="9">
        <f t="shared" si="5"/>
        <v>2.22525</v>
      </c>
      <c r="L127" s="11">
        <v>0.1</v>
      </c>
      <c r="M127" s="15">
        <f t="shared" si="3"/>
        <v>2.447775</v>
      </c>
    </row>
    <row r="128" spans="1:13" ht="30" x14ac:dyDescent="0.25">
      <c r="A128" s="5" t="s">
        <v>256</v>
      </c>
      <c r="B128" s="6" t="s">
        <v>257</v>
      </c>
      <c r="C128" s="6" t="str">
        <f>VLOOKUP(A128,'[1]PRECIOS NUEVOS'!$A:$C,3,0)</f>
        <v>torreta de amortiguadores trasera</v>
      </c>
      <c r="D128" s="5">
        <v>1</v>
      </c>
      <c r="E128" s="5">
        <v>24</v>
      </c>
      <c r="F128" s="5">
        <v>41.7</v>
      </c>
      <c r="G128" s="11">
        <v>0.17</v>
      </c>
      <c r="H128" s="11">
        <v>0.12</v>
      </c>
      <c r="I128" s="8">
        <f t="shared" si="4"/>
        <v>30.96</v>
      </c>
      <c r="J128" s="10">
        <v>1.1499999999999999</v>
      </c>
      <c r="K128" s="9">
        <f t="shared" si="5"/>
        <v>35.603999999999999</v>
      </c>
      <c r="L128" s="11">
        <v>0.1</v>
      </c>
      <c r="M128" s="15">
        <f t="shared" si="3"/>
        <v>39.164400000000001</v>
      </c>
    </row>
    <row r="129" spans="1:13" x14ac:dyDescent="0.25">
      <c r="A129" s="5" t="s">
        <v>258</v>
      </c>
      <c r="B129" s="6" t="s">
        <v>259</v>
      </c>
      <c r="C129" s="6">
        <f>VLOOKUP(A129,'[1]PRECIOS NUEVOS'!$A:$C,3,0)</f>
        <v>0</v>
      </c>
      <c r="D129" s="5">
        <v>8</v>
      </c>
      <c r="E129" s="5">
        <v>1.65</v>
      </c>
      <c r="F129" s="5">
        <v>3.8</v>
      </c>
      <c r="G129" s="11">
        <v>0.17</v>
      </c>
      <c r="H129" s="11">
        <v>0.12</v>
      </c>
      <c r="I129" s="8">
        <f t="shared" si="4"/>
        <v>2.1284999999999998</v>
      </c>
      <c r="J129" s="10">
        <v>1.1499999999999999</v>
      </c>
      <c r="K129" s="9">
        <f t="shared" si="5"/>
        <v>2.4477749999999996</v>
      </c>
      <c r="L129" s="11">
        <v>0.1</v>
      </c>
      <c r="M129" s="15">
        <f t="shared" si="3"/>
        <v>2.6925524999999997</v>
      </c>
    </row>
    <row r="130" spans="1:13" x14ac:dyDescent="0.25">
      <c r="A130" s="5" t="s">
        <v>260</v>
      </c>
      <c r="B130" s="6" t="s">
        <v>261</v>
      </c>
      <c r="C130" s="6" t="str">
        <f>VLOOKUP(A130,'[1]PRECIOS NUEVOS'!$A:$C,3,0)</f>
        <v>pines de cuaderna</v>
      </c>
      <c r="D130" s="5">
        <v>4</v>
      </c>
      <c r="E130" s="5">
        <v>1.2</v>
      </c>
      <c r="F130" s="5">
        <v>2.2000000000000002</v>
      </c>
      <c r="G130" s="11">
        <v>0.17</v>
      </c>
      <c r="H130" s="11">
        <v>0.12</v>
      </c>
      <c r="I130" s="8">
        <f t="shared" si="4"/>
        <v>1.548</v>
      </c>
      <c r="J130" s="10">
        <v>1.1499999999999999</v>
      </c>
      <c r="K130" s="9">
        <f t="shared" si="5"/>
        <v>1.7802</v>
      </c>
      <c r="L130" s="11">
        <v>0.1</v>
      </c>
      <c r="M130" s="15">
        <f t="shared" ref="M130:M193" si="6">K130*(1+L130)</f>
        <v>1.9582200000000001</v>
      </c>
    </row>
    <row r="131" spans="1:13" x14ac:dyDescent="0.25">
      <c r="A131" s="5" t="s">
        <v>262</v>
      </c>
      <c r="B131" s="6" t="s">
        <v>263</v>
      </c>
      <c r="C131" s="6">
        <f>VLOOKUP(A131,'[1]PRECIOS NUEVOS'!$A:$C,3,0)</f>
        <v>0</v>
      </c>
      <c r="D131" s="5">
        <v>8</v>
      </c>
      <c r="E131" s="5">
        <v>1.65</v>
      </c>
      <c r="F131" s="5">
        <v>3.8</v>
      </c>
      <c r="G131" s="11">
        <v>0.17</v>
      </c>
      <c r="H131" s="11">
        <v>0.12</v>
      </c>
      <c r="I131" s="8">
        <f t="shared" ref="I131:I194" si="7">E131*(1+G131+H131)</f>
        <v>2.1284999999999998</v>
      </c>
      <c r="J131" s="10">
        <v>1.1499999999999999</v>
      </c>
      <c r="K131" s="9">
        <f t="shared" ref="K131:K194" si="8">I131*J131</f>
        <v>2.4477749999999996</v>
      </c>
      <c r="L131" s="11">
        <v>0.1</v>
      </c>
      <c r="M131" s="15">
        <f t="shared" si="6"/>
        <v>2.6925524999999997</v>
      </c>
    </row>
    <row r="132" spans="1:13" ht="45" x14ac:dyDescent="0.25">
      <c r="A132" s="5" t="s">
        <v>264</v>
      </c>
      <c r="B132" s="6" t="s">
        <v>265</v>
      </c>
      <c r="C132" s="6" t="str">
        <f>VLOOKUP(A132,'[1]PRECIOS NUEVOS'!$A:$C,3,0)</f>
        <v>pieza en la que encastra el amoritiguador traseros (va el clip)</v>
      </c>
      <c r="D132" s="5">
        <v>1</v>
      </c>
      <c r="E132" s="5">
        <v>4.3</v>
      </c>
      <c r="F132" s="5">
        <v>7.9</v>
      </c>
      <c r="G132" s="11">
        <v>0.17</v>
      </c>
      <c r="H132" s="11">
        <v>0.12</v>
      </c>
      <c r="I132" s="8">
        <f t="shared" si="7"/>
        <v>5.5469999999999997</v>
      </c>
      <c r="J132" s="10">
        <v>1.1499999999999999</v>
      </c>
      <c r="K132" s="9">
        <f t="shared" si="8"/>
        <v>6.3790499999999994</v>
      </c>
      <c r="L132" s="11">
        <v>0.1</v>
      </c>
      <c r="M132" s="15">
        <f t="shared" si="6"/>
        <v>7.0169550000000003</v>
      </c>
    </row>
    <row r="133" spans="1:13" x14ac:dyDescent="0.25">
      <c r="A133" s="5" t="s">
        <v>266</v>
      </c>
      <c r="B133" s="6" t="s">
        <v>267</v>
      </c>
      <c r="C133" s="6" t="str">
        <f>VLOOKUP(A133,'[1]PRECIOS NUEVOS'!$A:$C,3,0)</f>
        <v>clips amortiguador</v>
      </c>
      <c r="D133" s="5">
        <v>4</v>
      </c>
      <c r="E133" s="5">
        <v>1.65</v>
      </c>
      <c r="F133" s="5">
        <v>3.8</v>
      </c>
      <c r="G133" s="11">
        <v>0.17</v>
      </c>
      <c r="H133" s="11">
        <v>0.12</v>
      </c>
      <c r="I133" s="8">
        <f t="shared" si="7"/>
        <v>2.1284999999999998</v>
      </c>
      <c r="J133" s="10">
        <v>1.1499999999999999</v>
      </c>
      <c r="K133" s="9">
        <f t="shared" si="8"/>
        <v>2.4477749999999996</v>
      </c>
      <c r="L133" s="11">
        <v>0.1</v>
      </c>
      <c r="M133" s="15">
        <f t="shared" si="6"/>
        <v>2.6925524999999997</v>
      </c>
    </row>
    <row r="134" spans="1:13" x14ac:dyDescent="0.25">
      <c r="A134" s="5" t="s">
        <v>268</v>
      </c>
      <c r="B134" s="6" t="s">
        <v>269</v>
      </c>
      <c r="C134" s="6">
        <f>VLOOKUP(A134,'[1]PRECIOS NUEVOS'!$A:$C,3,0)</f>
        <v>0</v>
      </c>
      <c r="D134" s="5">
        <v>4</v>
      </c>
      <c r="E134" s="5">
        <v>1.65</v>
      </c>
      <c r="F134" s="5">
        <v>3.8</v>
      </c>
      <c r="G134" s="11">
        <v>0.17</v>
      </c>
      <c r="H134" s="11">
        <v>0.12</v>
      </c>
      <c r="I134" s="8">
        <f t="shared" si="7"/>
        <v>2.1284999999999998</v>
      </c>
      <c r="J134" s="10">
        <v>1.1499999999999999</v>
      </c>
      <c r="K134" s="9">
        <f t="shared" si="8"/>
        <v>2.4477749999999996</v>
      </c>
      <c r="L134" s="11">
        <v>0.1</v>
      </c>
      <c r="M134" s="15">
        <f t="shared" si="6"/>
        <v>2.6925524999999997</v>
      </c>
    </row>
    <row r="135" spans="1:13" ht="30" x14ac:dyDescent="0.25">
      <c r="A135" s="5" t="s">
        <v>270</v>
      </c>
      <c r="B135" s="6" t="s">
        <v>271</v>
      </c>
      <c r="C135" s="6" t="str">
        <f>VLOOKUP(A135,'[1]PRECIOS NUEVOS'!$A:$C,3,0)</f>
        <v>soporte de carroceria de aluminio (brazo)</v>
      </c>
      <c r="D135" s="5">
        <v>1</v>
      </c>
      <c r="E135" s="5">
        <v>13.2</v>
      </c>
      <c r="F135" s="5">
        <v>23</v>
      </c>
      <c r="G135" s="11">
        <v>0.17</v>
      </c>
      <c r="H135" s="11">
        <v>0.12</v>
      </c>
      <c r="I135" s="8">
        <f t="shared" si="7"/>
        <v>17.027999999999999</v>
      </c>
      <c r="J135" s="10">
        <v>1.1499999999999999</v>
      </c>
      <c r="K135" s="9">
        <f t="shared" si="8"/>
        <v>19.582199999999997</v>
      </c>
      <c r="L135" s="11">
        <v>0.1</v>
      </c>
      <c r="M135" s="15">
        <f t="shared" si="6"/>
        <v>21.540419999999997</v>
      </c>
    </row>
    <row r="136" spans="1:13" x14ac:dyDescent="0.25">
      <c r="A136" s="5" t="s">
        <v>272</v>
      </c>
      <c r="B136" s="6" t="s">
        <v>273</v>
      </c>
      <c r="C136" s="6" t="str">
        <f>VLOOKUP(A136,'[1]PRECIOS NUEVOS'!$A:$C,3,0)</f>
        <v>carbono de carroceria trasero</v>
      </c>
      <c r="D136" s="5">
        <v>1</v>
      </c>
      <c r="E136" s="5">
        <v>12</v>
      </c>
      <c r="F136" s="5">
        <v>20.9</v>
      </c>
      <c r="G136" s="11">
        <v>0.17</v>
      </c>
      <c r="H136" s="11">
        <v>0.12</v>
      </c>
      <c r="I136" s="8">
        <f t="shared" si="7"/>
        <v>15.48</v>
      </c>
      <c r="J136" s="10">
        <v>1.1499999999999999</v>
      </c>
      <c r="K136" s="9">
        <f t="shared" si="8"/>
        <v>17.802</v>
      </c>
      <c r="L136" s="11">
        <v>0.1</v>
      </c>
      <c r="M136" s="15">
        <f t="shared" si="6"/>
        <v>19.5822</v>
      </c>
    </row>
    <row r="137" spans="1:13" ht="30" x14ac:dyDescent="0.25">
      <c r="A137" s="5" t="s">
        <v>274</v>
      </c>
      <c r="B137" s="6" t="s">
        <v>275</v>
      </c>
      <c r="C137" s="6" t="str">
        <f>VLOOKUP(A137,'[1]PRECIOS NUEVOS'!$A:$C,3,0)</f>
        <v>palito de carroceria trasero completo</v>
      </c>
      <c r="D137" s="5">
        <v>1</v>
      </c>
      <c r="E137" s="5">
        <v>5</v>
      </c>
      <c r="F137" s="5">
        <v>9.1999999999999993</v>
      </c>
      <c r="G137" s="11">
        <v>0.17</v>
      </c>
      <c r="H137" s="11">
        <v>0.12</v>
      </c>
      <c r="I137" s="8">
        <f t="shared" si="7"/>
        <v>6.45</v>
      </c>
      <c r="J137" s="10">
        <v>1.1499999999999999</v>
      </c>
      <c r="K137" s="9">
        <f t="shared" si="8"/>
        <v>7.4174999999999995</v>
      </c>
      <c r="L137" s="11">
        <v>0.1</v>
      </c>
      <c r="M137" s="15">
        <f t="shared" si="6"/>
        <v>8.1592500000000001</v>
      </c>
    </row>
    <row r="138" spans="1:13" x14ac:dyDescent="0.25">
      <c r="A138" s="5" t="s">
        <v>276</v>
      </c>
      <c r="B138" s="6" t="s">
        <v>277</v>
      </c>
      <c r="C138" s="6">
        <f>VLOOKUP(A138,'[1]PRECIOS NUEVOS'!$A:$C,3,0)</f>
        <v>0</v>
      </c>
      <c r="D138" s="5">
        <v>4</v>
      </c>
      <c r="E138" s="5">
        <v>1.65</v>
      </c>
      <c r="F138" s="5">
        <v>3.8</v>
      </c>
      <c r="G138" s="11">
        <v>0.17</v>
      </c>
      <c r="H138" s="11">
        <v>0.12</v>
      </c>
      <c r="I138" s="8">
        <f t="shared" si="7"/>
        <v>2.1284999999999998</v>
      </c>
      <c r="J138" s="10">
        <v>1.1499999999999999</v>
      </c>
      <c r="K138" s="9">
        <f t="shared" si="8"/>
        <v>2.4477749999999996</v>
      </c>
      <c r="L138" s="11">
        <v>0.1</v>
      </c>
      <c r="M138" s="15">
        <f t="shared" si="6"/>
        <v>2.6925524999999997</v>
      </c>
    </row>
    <row r="139" spans="1:13" ht="30" x14ac:dyDescent="0.25">
      <c r="A139" s="5" t="s">
        <v>278</v>
      </c>
      <c r="B139" s="6" t="s">
        <v>279</v>
      </c>
      <c r="C139" s="6" t="str">
        <f>VLOOKUP(A139,'[1]PRECIOS NUEVOS'!$A:$C,3,0)</f>
        <v>pieza que une las dos cuadernas en forma de "S"</v>
      </c>
      <c r="D139" s="5">
        <v>1</v>
      </c>
      <c r="E139" s="5">
        <v>12.5</v>
      </c>
      <c r="F139" s="5">
        <v>21.75</v>
      </c>
      <c r="G139" s="11">
        <v>0.17</v>
      </c>
      <c r="H139" s="11">
        <v>0.12</v>
      </c>
      <c r="I139" s="8">
        <f t="shared" si="7"/>
        <v>16.125</v>
      </c>
      <c r="J139" s="10">
        <v>1.1499999999999999</v>
      </c>
      <c r="K139" s="9">
        <f t="shared" si="8"/>
        <v>18.543749999999999</v>
      </c>
      <c r="L139" s="11">
        <v>0.1</v>
      </c>
      <c r="M139" s="15">
        <f t="shared" si="6"/>
        <v>20.398125</v>
      </c>
    </row>
    <row r="140" spans="1:13" x14ac:dyDescent="0.25">
      <c r="A140" s="5" t="s">
        <v>280</v>
      </c>
      <c r="B140" s="6" t="s">
        <v>281</v>
      </c>
      <c r="C140" s="6" t="str">
        <f>VLOOKUP(A140,'[1]PRECIOS NUEVOS'!$A:$C,3,0)</f>
        <v>Bancada trasera derecha</v>
      </c>
      <c r="D140" s="5">
        <v>1</v>
      </c>
      <c r="E140" s="5">
        <v>42.5</v>
      </c>
      <c r="F140" s="5">
        <v>74</v>
      </c>
      <c r="G140" s="11">
        <v>0.17</v>
      </c>
      <c r="H140" s="11">
        <v>0.12</v>
      </c>
      <c r="I140" s="8">
        <f t="shared" si="7"/>
        <v>54.825000000000003</v>
      </c>
      <c r="J140" s="10">
        <v>1.1499999999999999</v>
      </c>
      <c r="K140" s="9">
        <f t="shared" si="8"/>
        <v>63.048749999999998</v>
      </c>
      <c r="L140" s="11">
        <v>0.1</v>
      </c>
      <c r="M140" s="15">
        <f t="shared" si="6"/>
        <v>69.353625000000008</v>
      </c>
    </row>
    <row r="141" spans="1:13" x14ac:dyDescent="0.25">
      <c r="A141" s="5" t="s">
        <v>282</v>
      </c>
      <c r="B141" s="6" t="s">
        <v>283</v>
      </c>
      <c r="C141" s="6" t="str">
        <f>VLOOKUP(A141,'[1]PRECIOS NUEVOS'!$A:$C,3,0)</f>
        <v>soporte de bateria viejo</v>
      </c>
      <c r="D141" s="5">
        <v>1</v>
      </c>
      <c r="E141" s="5">
        <v>12.5</v>
      </c>
      <c r="F141" s="5">
        <v>21.75</v>
      </c>
      <c r="G141" s="11">
        <v>0.17</v>
      </c>
      <c r="H141" s="11">
        <v>0.12</v>
      </c>
      <c r="I141" s="8">
        <f t="shared" si="7"/>
        <v>16.125</v>
      </c>
      <c r="J141" s="10">
        <v>1.1499999999999999</v>
      </c>
      <c r="K141" s="9">
        <f t="shared" si="8"/>
        <v>18.543749999999999</v>
      </c>
      <c r="L141" s="11">
        <v>0.1</v>
      </c>
      <c r="M141" s="15">
        <f t="shared" si="6"/>
        <v>20.398125</v>
      </c>
    </row>
    <row r="142" spans="1:13" x14ac:dyDescent="0.25">
      <c r="A142" s="5" t="s">
        <v>284</v>
      </c>
      <c r="B142" s="6" t="s">
        <v>285</v>
      </c>
      <c r="C142" s="6" t="str">
        <f>VLOOKUP(A142,'[1]PRECIOS NUEVOS'!$A:$C,3,0)</f>
        <v>corona de diferencial</v>
      </c>
      <c r="D142" s="5">
        <v>1</v>
      </c>
      <c r="E142" s="5">
        <v>31</v>
      </c>
      <c r="F142" s="5">
        <v>54</v>
      </c>
      <c r="G142" s="11">
        <v>0.17</v>
      </c>
      <c r="H142" s="11">
        <v>0.12</v>
      </c>
      <c r="I142" s="8">
        <f t="shared" si="7"/>
        <v>39.99</v>
      </c>
      <c r="J142" s="10">
        <v>1.1499999999999999</v>
      </c>
      <c r="K142" s="9">
        <f t="shared" si="8"/>
        <v>45.988500000000002</v>
      </c>
      <c r="L142" s="11">
        <v>0.1</v>
      </c>
      <c r="M142" s="15">
        <f t="shared" si="6"/>
        <v>50.587350000000008</v>
      </c>
    </row>
    <row r="143" spans="1:13" x14ac:dyDescent="0.25">
      <c r="A143" s="5" t="s">
        <v>286</v>
      </c>
      <c r="B143" s="6" t="s">
        <v>287</v>
      </c>
      <c r="C143" s="6" t="str">
        <f>VLOOKUP(A143,'[1]PRECIOS NUEVOS'!$A:$C,3,0)</f>
        <v>piñon eje medio 25</v>
      </c>
      <c r="D143" s="5">
        <v>1</v>
      </c>
      <c r="E143" s="5">
        <v>24</v>
      </c>
      <c r="F143" s="5">
        <v>41.7</v>
      </c>
      <c r="G143" s="11">
        <v>0.17</v>
      </c>
      <c r="H143" s="11">
        <v>0.12</v>
      </c>
      <c r="I143" s="8">
        <f t="shared" si="7"/>
        <v>30.96</v>
      </c>
      <c r="J143" s="10">
        <v>1.1499999999999999</v>
      </c>
      <c r="K143" s="9">
        <f t="shared" si="8"/>
        <v>35.603999999999999</v>
      </c>
      <c r="L143" s="11">
        <v>0.1</v>
      </c>
      <c r="M143" s="15">
        <f t="shared" si="6"/>
        <v>39.164400000000001</v>
      </c>
    </row>
    <row r="144" spans="1:13" x14ac:dyDescent="0.25">
      <c r="A144" s="5" t="s">
        <v>288</v>
      </c>
      <c r="B144" s="6" t="s">
        <v>289</v>
      </c>
      <c r="C144" s="6" t="str">
        <f>VLOOKUP(A144,'[1]PRECIOS NUEVOS'!$A:$C,3,0)</f>
        <v>fuelle de palier</v>
      </c>
      <c r="D144" s="5">
        <v>2</v>
      </c>
      <c r="E144" s="5">
        <v>10</v>
      </c>
      <c r="F144" s="5">
        <v>18</v>
      </c>
      <c r="G144" s="11">
        <v>0.17</v>
      </c>
      <c r="H144" s="11">
        <v>0.12</v>
      </c>
      <c r="I144" s="8">
        <f t="shared" si="7"/>
        <v>12.9</v>
      </c>
      <c r="J144" s="10">
        <v>1.1499999999999999</v>
      </c>
      <c r="K144" s="9">
        <f t="shared" si="8"/>
        <v>14.834999999999999</v>
      </c>
      <c r="L144" s="11">
        <v>0.1</v>
      </c>
      <c r="M144" s="15">
        <f t="shared" si="6"/>
        <v>16.3185</v>
      </c>
    </row>
    <row r="145" spans="1:13" x14ac:dyDescent="0.25">
      <c r="A145" s="5" t="s">
        <v>290</v>
      </c>
      <c r="B145" s="6" t="s">
        <v>291</v>
      </c>
      <c r="C145" s="6" t="str">
        <f>VLOOKUP(A145,'[1]PRECIOS NUEVOS'!$A:$C,3,0)</f>
        <v>gomas de palier</v>
      </c>
      <c r="D145" s="5">
        <v>4</v>
      </c>
      <c r="E145" s="5">
        <v>4</v>
      </c>
      <c r="F145" s="5">
        <v>7.5</v>
      </c>
      <c r="G145" s="11">
        <v>0.17</v>
      </c>
      <c r="H145" s="11">
        <v>0.12</v>
      </c>
      <c r="I145" s="8">
        <f t="shared" si="7"/>
        <v>5.16</v>
      </c>
      <c r="J145" s="10">
        <v>1.1499999999999999</v>
      </c>
      <c r="K145" s="9">
        <f t="shared" si="8"/>
        <v>5.9339999999999993</v>
      </c>
      <c r="L145" s="11">
        <v>0.1</v>
      </c>
      <c r="M145" s="15">
        <f t="shared" si="6"/>
        <v>6.5274000000000001</v>
      </c>
    </row>
    <row r="146" spans="1:13" x14ac:dyDescent="0.25">
      <c r="A146" s="5" t="s">
        <v>292</v>
      </c>
      <c r="B146" s="6" t="s">
        <v>293</v>
      </c>
      <c r="C146" s="6" t="str">
        <f>VLOOKUP(A146,'[1]PRECIOS NUEVOS'!$A:$C,3,0)</f>
        <v>soporte de escape samba 7</v>
      </c>
      <c r="D146" s="5">
        <v>1</v>
      </c>
      <c r="E146" s="5">
        <v>15</v>
      </c>
      <c r="F146" s="5">
        <v>26</v>
      </c>
      <c r="G146" s="11">
        <v>0.17</v>
      </c>
      <c r="H146" s="11">
        <v>0.12</v>
      </c>
      <c r="I146" s="8">
        <f t="shared" si="7"/>
        <v>19.350000000000001</v>
      </c>
      <c r="J146" s="10">
        <v>1.1499999999999999</v>
      </c>
      <c r="K146" s="9">
        <f t="shared" si="8"/>
        <v>22.252500000000001</v>
      </c>
      <c r="L146" s="11">
        <v>0.1</v>
      </c>
      <c r="M146" s="15">
        <f t="shared" si="6"/>
        <v>24.477750000000004</v>
      </c>
    </row>
    <row r="147" spans="1:13" ht="30" x14ac:dyDescent="0.25">
      <c r="A147" s="5" t="s">
        <v>294</v>
      </c>
      <c r="B147" s="6" t="s">
        <v>295</v>
      </c>
      <c r="C147" s="6" t="str">
        <f>VLOOKUP(A147,'[1]PRECIOS NUEVOS'!$A:$C,3,0)</f>
        <v>columna de salvaservo para brazo de servo</v>
      </c>
      <c r="D147" s="5">
        <v>2</v>
      </c>
      <c r="E147" s="5">
        <v>5</v>
      </c>
      <c r="F147" s="5">
        <v>9.1999999999999993</v>
      </c>
      <c r="G147" s="11">
        <v>0.17</v>
      </c>
      <c r="H147" s="11">
        <v>0.12</v>
      </c>
      <c r="I147" s="8">
        <f t="shared" si="7"/>
        <v>6.45</v>
      </c>
      <c r="J147" s="10">
        <v>1.1499999999999999</v>
      </c>
      <c r="K147" s="9">
        <f t="shared" si="8"/>
        <v>7.4174999999999995</v>
      </c>
      <c r="L147" s="11">
        <v>0.1</v>
      </c>
      <c r="M147" s="15">
        <f t="shared" si="6"/>
        <v>8.1592500000000001</v>
      </c>
    </row>
    <row r="148" spans="1:13" x14ac:dyDescent="0.25">
      <c r="A148" s="5" t="s">
        <v>296</v>
      </c>
      <c r="B148" s="6" t="s">
        <v>297</v>
      </c>
      <c r="C148" s="6" t="str">
        <f>VLOOKUP(A148,'[1]PRECIOS NUEVOS'!$A:$C,3,0)</f>
        <v>clips para manguera de freno</v>
      </c>
      <c r="D148" s="5">
        <v>2</v>
      </c>
      <c r="E148" s="5">
        <v>3.3</v>
      </c>
      <c r="F148" s="5">
        <v>6</v>
      </c>
      <c r="G148" s="11">
        <v>0.17</v>
      </c>
      <c r="H148" s="11">
        <v>0.12</v>
      </c>
      <c r="I148" s="8">
        <f t="shared" si="7"/>
        <v>4.2569999999999997</v>
      </c>
      <c r="J148" s="10">
        <v>1.1499999999999999</v>
      </c>
      <c r="K148" s="9">
        <f t="shared" si="8"/>
        <v>4.8955499999999992</v>
      </c>
      <c r="L148" s="11">
        <v>0.1</v>
      </c>
      <c r="M148" s="15">
        <f t="shared" si="6"/>
        <v>5.3851049999999994</v>
      </c>
    </row>
    <row r="149" spans="1:13" x14ac:dyDescent="0.25">
      <c r="A149" s="5" t="s">
        <v>298</v>
      </c>
      <c r="B149" s="6" t="s">
        <v>299</v>
      </c>
      <c r="C149" s="6">
        <f>VLOOKUP(A149,'[1]PRECIOS NUEVOS'!$A:$C,3,0)</f>
        <v>0</v>
      </c>
      <c r="D149" s="5">
        <v>1</v>
      </c>
      <c r="E149" s="5">
        <v>5.3</v>
      </c>
      <c r="F149" s="5">
        <v>9.75</v>
      </c>
      <c r="G149" s="11">
        <v>0.17</v>
      </c>
      <c r="H149" s="11">
        <v>0.12</v>
      </c>
      <c r="I149" s="8">
        <f t="shared" si="7"/>
        <v>6.8369999999999997</v>
      </c>
      <c r="J149" s="10">
        <v>1.1499999999999999</v>
      </c>
      <c r="K149" s="9">
        <f t="shared" si="8"/>
        <v>7.8625499999999988</v>
      </c>
      <c r="L149" s="11">
        <v>0.1</v>
      </c>
      <c r="M149" s="15">
        <f t="shared" si="6"/>
        <v>8.6488049999999994</v>
      </c>
    </row>
    <row r="150" spans="1:13" x14ac:dyDescent="0.25">
      <c r="A150" s="5" t="s">
        <v>300</v>
      </c>
      <c r="B150" s="6" t="s">
        <v>301</v>
      </c>
      <c r="C150" s="6" t="str">
        <f>VLOOKUP(A150,'[1]PRECIOS NUEVOS'!$A:$C,3,0)</f>
        <v>tope de direccion</v>
      </c>
      <c r="D150" s="5">
        <v>1</v>
      </c>
      <c r="E150" s="5">
        <v>6.2</v>
      </c>
      <c r="F150" s="5">
        <v>11.4</v>
      </c>
      <c r="G150" s="11">
        <v>0.17</v>
      </c>
      <c r="H150" s="11">
        <v>0.12</v>
      </c>
      <c r="I150" s="8">
        <f t="shared" si="7"/>
        <v>7.9980000000000002</v>
      </c>
      <c r="J150" s="10">
        <v>1.1499999999999999</v>
      </c>
      <c r="K150" s="9">
        <f t="shared" si="8"/>
        <v>9.1976999999999993</v>
      </c>
      <c r="L150" s="11">
        <v>0.1</v>
      </c>
      <c r="M150" s="15">
        <f t="shared" si="6"/>
        <v>10.117470000000001</v>
      </c>
    </row>
    <row r="151" spans="1:13" x14ac:dyDescent="0.25">
      <c r="A151" s="5" t="s">
        <v>302</v>
      </c>
      <c r="B151" s="6" t="s">
        <v>303</v>
      </c>
      <c r="C151" s="6" t="str">
        <f>VLOOKUP(A151,'[1]PRECIOS NUEVOS'!$A:$C,3,0)</f>
        <v>masa con offset</v>
      </c>
      <c r="D151" s="5">
        <v>1</v>
      </c>
      <c r="E151" s="5">
        <v>32.5</v>
      </c>
      <c r="F151" s="5">
        <v>56.5</v>
      </c>
      <c r="G151" s="11">
        <v>0.17</v>
      </c>
      <c r="H151" s="11">
        <v>0.12</v>
      </c>
      <c r="I151" s="8">
        <f t="shared" si="7"/>
        <v>41.925000000000004</v>
      </c>
      <c r="J151" s="10">
        <v>1.1499999999999999</v>
      </c>
      <c r="K151" s="9">
        <f t="shared" si="8"/>
        <v>48.213750000000005</v>
      </c>
      <c r="L151" s="11">
        <v>0.1</v>
      </c>
      <c r="M151" s="15">
        <f t="shared" si="6"/>
        <v>53.035125000000008</v>
      </c>
    </row>
    <row r="152" spans="1:13" x14ac:dyDescent="0.25">
      <c r="A152" s="5" t="s">
        <v>304</v>
      </c>
      <c r="B152" s="6" t="s">
        <v>305</v>
      </c>
      <c r="C152" s="6" t="str">
        <f>VLOOKUP(A152,'[1]PRECIOS NUEVOS'!$A:$C,3,0)</f>
        <v>masa con offset</v>
      </c>
      <c r="D152" s="5">
        <v>1</v>
      </c>
      <c r="E152" s="5">
        <v>32.5</v>
      </c>
      <c r="F152" s="5">
        <v>56.5</v>
      </c>
      <c r="G152" s="11">
        <v>0.17</v>
      </c>
      <c r="H152" s="11">
        <v>0.12</v>
      </c>
      <c r="I152" s="8">
        <f t="shared" si="7"/>
        <v>41.925000000000004</v>
      </c>
      <c r="J152" s="10">
        <v>1.1499999999999999</v>
      </c>
      <c r="K152" s="9">
        <f t="shared" si="8"/>
        <v>48.213750000000005</v>
      </c>
      <c r="L152" s="11">
        <v>0.1</v>
      </c>
      <c r="M152" s="15">
        <f t="shared" si="6"/>
        <v>53.035125000000008</v>
      </c>
    </row>
    <row r="153" spans="1:13" ht="30" x14ac:dyDescent="0.25">
      <c r="A153" s="5" t="s">
        <v>306</v>
      </c>
      <c r="B153" s="6" t="s">
        <v>307</v>
      </c>
      <c r="C153" s="6" t="str">
        <f>VLOOKUP(A153,'[1]PRECIOS NUEVOS'!$A:$C,3,0)</f>
        <v>bola para salva servo . rotula de direccion</v>
      </c>
      <c r="D153" s="5">
        <v>1</v>
      </c>
      <c r="E153" s="5">
        <v>4</v>
      </c>
      <c r="F153" s="5">
        <v>7.5</v>
      </c>
      <c r="G153" s="11">
        <v>0.17</v>
      </c>
      <c r="H153" s="11">
        <v>0.12</v>
      </c>
      <c r="I153" s="8">
        <f t="shared" si="7"/>
        <v>5.16</v>
      </c>
      <c r="J153" s="10">
        <v>1.1499999999999999</v>
      </c>
      <c r="K153" s="9">
        <f t="shared" si="8"/>
        <v>5.9339999999999993</v>
      </c>
      <c r="L153" s="11">
        <v>0.1</v>
      </c>
      <c r="M153" s="15">
        <f t="shared" si="6"/>
        <v>6.5274000000000001</v>
      </c>
    </row>
    <row r="154" spans="1:13" x14ac:dyDescent="0.25">
      <c r="A154" s="5" t="s">
        <v>308</v>
      </c>
      <c r="B154" s="6" t="s">
        <v>309</v>
      </c>
      <c r="C154" s="6">
        <f>VLOOKUP(A154,'[1]PRECIOS NUEVOS'!$A:$C,3,0)</f>
        <v>0</v>
      </c>
      <c r="D154" s="5">
        <v>8</v>
      </c>
      <c r="E154" s="5">
        <v>3</v>
      </c>
      <c r="F154" s="5">
        <v>5.5</v>
      </c>
      <c r="G154" s="11">
        <v>0.17</v>
      </c>
      <c r="H154" s="11">
        <v>0.12</v>
      </c>
      <c r="I154" s="8">
        <f t="shared" si="7"/>
        <v>3.87</v>
      </c>
      <c r="J154" s="10">
        <v>1.1499999999999999</v>
      </c>
      <c r="K154" s="9">
        <f t="shared" si="8"/>
        <v>4.4504999999999999</v>
      </c>
      <c r="L154" s="11">
        <v>0.1</v>
      </c>
      <c r="M154" s="15">
        <f t="shared" si="6"/>
        <v>4.8955500000000001</v>
      </c>
    </row>
    <row r="155" spans="1:13" x14ac:dyDescent="0.25">
      <c r="A155" s="5" t="s">
        <v>310</v>
      </c>
      <c r="B155" s="6" t="s">
        <v>311</v>
      </c>
      <c r="C155" s="6" t="str">
        <f>VLOOKUP(A155,'[1]PRECIOS NUEVOS'!$A:$C,3,0)</f>
        <v>rotula de aluminio completa</v>
      </c>
      <c r="D155" s="5">
        <v>1</v>
      </c>
      <c r="E155" s="5">
        <v>13</v>
      </c>
      <c r="F155" s="5">
        <v>22.6</v>
      </c>
      <c r="G155" s="11">
        <v>0.17</v>
      </c>
      <c r="H155" s="11">
        <v>0.12</v>
      </c>
      <c r="I155" s="8">
        <f t="shared" si="7"/>
        <v>16.77</v>
      </c>
      <c r="J155" s="10">
        <v>1.1499999999999999</v>
      </c>
      <c r="K155" s="9">
        <f t="shared" si="8"/>
        <v>19.285499999999999</v>
      </c>
      <c r="L155" s="11">
        <v>0.1</v>
      </c>
      <c r="M155" s="15">
        <f t="shared" si="6"/>
        <v>21.21405</v>
      </c>
    </row>
    <row r="156" spans="1:13" x14ac:dyDescent="0.25">
      <c r="A156" s="5" t="s">
        <v>312</v>
      </c>
      <c r="B156" s="6" t="s">
        <v>313</v>
      </c>
      <c r="C156" s="6">
        <f>VLOOKUP(A156,'[1]PRECIOS NUEVOS'!$A:$C,3,0)</f>
        <v>0</v>
      </c>
      <c r="D156" s="5">
        <v>8</v>
      </c>
      <c r="E156" s="5">
        <v>3</v>
      </c>
      <c r="F156" s="5">
        <v>5.5</v>
      </c>
      <c r="G156" s="11">
        <v>0.17</v>
      </c>
      <c r="H156" s="11">
        <v>0.12</v>
      </c>
      <c r="I156" s="8">
        <f t="shared" si="7"/>
        <v>3.87</v>
      </c>
      <c r="J156" s="10">
        <v>1.1499999999999999</v>
      </c>
      <c r="K156" s="9">
        <f t="shared" si="8"/>
        <v>4.4504999999999999</v>
      </c>
      <c r="L156" s="11">
        <v>0.1</v>
      </c>
      <c r="M156" s="15">
        <f t="shared" si="6"/>
        <v>4.8955500000000001</v>
      </c>
    </row>
    <row r="157" spans="1:13" x14ac:dyDescent="0.25">
      <c r="A157" s="5" t="s">
        <v>314</v>
      </c>
      <c r="B157" s="6" t="s">
        <v>315</v>
      </c>
      <c r="C157" s="6" t="str">
        <f>VLOOKUP(A157,'[1]PRECIOS NUEVOS'!$A:$C,3,0)</f>
        <v xml:space="preserve">tornillos  </v>
      </c>
      <c r="D157" s="5">
        <v>4</v>
      </c>
      <c r="E157" s="5">
        <v>3</v>
      </c>
      <c r="F157" s="5">
        <v>5.5</v>
      </c>
      <c r="G157" s="11">
        <v>0.17</v>
      </c>
      <c r="H157" s="11">
        <v>0.12</v>
      </c>
      <c r="I157" s="8">
        <f t="shared" si="7"/>
        <v>3.87</v>
      </c>
      <c r="J157" s="10">
        <v>1.1499999999999999</v>
      </c>
      <c r="K157" s="9">
        <f t="shared" si="8"/>
        <v>4.4504999999999999</v>
      </c>
      <c r="L157" s="11">
        <v>0.1</v>
      </c>
      <c r="M157" s="15">
        <f t="shared" si="6"/>
        <v>4.8955500000000001</v>
      </c>
    </row>
    <row r="158" spans="1:13" x14ac:dyDescent="0.25">
      <c r="A158" s="5" t="s">
        <v>316</v>
      </c>
      <c r="B158" s="6" t="s">
        <v>317</v>
      </c>
      <c r="C158" s="6">
        <f>VLOOKUP(A158,'[1]PRECIOS NUEVOS'!$A:$C,3,0)</f>
        <v>0</v>
      </c>
      <c r="D158" s="5">
        <v>4</v>
      </c>
      <c r="E158" s="5">
        <v>2</v>
      </c>
      <c r="F158" s="5">
        <v>3.8</v>
      </c>
      <c r="G158" s="11">
        <v>0.17</v>
      </c>
      <c r="H158" s="11">
        <v>0.12</v>
      </c>
      <c r="I158" s="8">
        <f t="shared" si="7"/>
        <v>2.58</v>
      </c>
      <c r="J158" s="10">
        <v>1.1499999999999999</v>
      </c>
      <c r="K158" s="9">
        <f t="shared" si="8"/>
        <v>2.9669999999999996</v>
      </c>
      <c r="L158" s="11">
        <v>0.1</v>
      </c>
      <c r="M158" s="15">
        <f t="shared" si="6"/>
        <v>3.2637</v>
      </c>
    </row>
    <row r="159" spans="1:13" x14ac:dyDescent="0.25">
      <c r="A159" s="5" t="s">
        <v>318</v>
      </c>
      <c r="B159" s="6" t="s">
        <v>319</v>
      </c>
      <c r="C159" s="6" t="str">
        <f>VLOOKUP(A159,'[1]PRECIOS NUEVOS'!$A:$C,3,0)</f>
        <v xml:space="preserve">barra 6mm vieja </v>
      </c>
      <c r="D159" s="5">
        <v>1</v>
      </c>
      <c r="E159" s="5">
        <v>16</v>
      </c>
      <c r="F159" s="5">
        <v>27.8</v>
      </c>
      <c r="G159" s="11">
        <v>0.17</v>
      </c>
      <c r="H159" s="11">
        <v>0.12</v>
      </c>
      <c r="I159" s="8">
        <f t="shared" si="7"/>
        <v>20.64</v>
      </c>
      <c r="J159" s="10">
        <v>1.1499999999999999</v>
      </c>
      <c r="K159" s="9">
        <f t="shared" si="8"/>
        <v>23.735999999999997</v>
      </c>
      <c r="L159" s="11">
        <v>0.1</v>
      </c>
      <c r="M159" s="15">
        <f t="shared" si="6"/>
        <v>26.1096</v>
      </c>
    </row>
    <row r="160" spans="1:13" x14ac:dyDescent="0.25">
      <c r="A160" s="5" t="s">
        <v>320</v>
      </c>
      <c r="B160" s="6" t="s">
        <v>321</v>
      </c>
      <c r="C160" s="6">
        <f>VLOOKUP(A160,'[1]PRECIOS NUEVOS'!$A:$C,3,0)</f>
        <v>0</v>
      </c>
      <c r="D160" s="5">
        <v>1</v>
      </c>
      <c r="E160" s="5">
        <v>8.25</v>
      </c>
      <c r="F160" s="5">
        <v>15</v>
      </c>
      <c r="G160" s="11">
        <v>0.17</v>
      </c>
      <c r="H160" s="11">
        <v>0.12</v>
      </c>
      <c r="I160" s="8">
        <f t="shared" si="7"/>
        <v>10.6425</v>
      </c>
      <c r="J160" s="10">
        <v>1.1499999999999999</v>
      </c>
      <c r="K160" s="9">
        <f t="shared" si="8"/>
        <v>12.238874999999998</v>
      </c>
      <c r="L160" s="11">
        <v>0.1</v>
      </c>
      <c r="M160" s="15">
        <f t="shared" si="6"/>
        <v>13.4627625</v>
      </c>
    </row>
    <row r="161" spans="1:13" x14ac:dyDescent="0.25">
      <c r="A161" s="5" t="s">
        <v>322</v>
      </c>
      <c r="B161" s="6" t="s">
        <v>323</v>
      </c>
      <c r="C161" s="6">
        <f>VLOOKUP(A161,'[1]PRECIOS NUEVOS'!$A:$C,3,0)</f>
        <v>0</v>
      </c>
      <c r="D161" s="5">
        <v>1</v>
      </c>
      <c r="E161" s="5">
        <v>16</v>
      </c>
      <c r="F161" s="5">
        <v>27.8</v>
      </c>
      <c r="G161" s="11">
        <v>0.17</v>
      </c>
      <c r="H161" s="11">
        <v>0.12</v>
      </c>
      <c r="I161" s="8">
        <f t="shared" si="7"/>
        <v>20.64</v>
      </c>
      <c r="J161" s="10">
        <v>1.1499999999999999</v>
      </c>
      <c r="K161" s="9">
        <f t="shared" si="8"/>
        <v>23.735999999999997</v>
      </c>
      <c r="L161" s="11">
        <v>0.1</v>
      </c>
      <c r="M161" s="15">
        <f t="shared" si="6"/>
        <v>26.1096</v>
      </c>
    </row>
    <row r="162" spans="1:13" x14ac:dyDescent="0.25">
      <c r="A162" s="5" t="s">
        <v>324</v>
      </c>
      <c r="B162" s="6" t="s">
        <v>325</v>
      </c>
      <c r="C162" s="6" t="str">
        <f>VLOOKUP(A162,'[1]PRECIOS NUEVOS'!$A:$C,3,0)</f>
        <v>plomos delanteros</v>
      </c>
      <c r="D162" s="5">
        <v>2</v>
      </c>
      <c r="E162" s="5">
        <v>21.5</v>
      </c>
      <c r="F162" s="5">
        <v>37.4</v>
      </c>
      <c r="G162" s="11">
        <v>0.17</v>
      </c>
      <c r="H162" s="11">
        <v>0.12</v>
      </c>
      <c r="I162" s="8">
        <f t="shared" si="7"/>
        <v>27.734999999999999</v>
      </c>
      <c r="J162" s="10">
        <v>1.1499999999999999</v>
      </c>
      <c r="K162" s="9">
        <f t="shared" si="8"/>
        <v>31.895249999999997</v>
      </c>
      <c r="L162" s="11">
        <v>0.1</v>
      </c>
      <c r="M162" s="15">
        <f t="shared" si="6"/>
        <v>35.084775</v>
      </c>
    </row>
    <row r="163" spans="1:13" x14ac:dyDescent="0.25">
      <c r="A163" s="5" t="s">
        <v>326</v>
      </c>
      <c r="B163" s="6" t="s">
        <v>327</v>
      </c>
      <c r="C163" s="6" t="str">
        <f>VLOOKUP(A163,'[1]PRECIOS NUEVOS'!$A:$C,3,0)</f>
        <v>plomo grande salva servo</v>
      </c>
      <c r="D163" s="5">
        <v>2</v>
      </c>
      <c r="E163" s="5">
        <v>21.5</v>
      </c>
      <c r="F163" s="5">
        <v>37.4</v>
      </c>
      <c r="G163" s="11">
        <v>0.17</v>
      </c>
      <c r="H163" s="11">
        <v>0.12</v>
      </c>
      <c r="I163" s="8">
        <f t="shared" si="7"/>
        <v>27.734999999999999</v>
      </c>
      <c r="J163" s="10">
        <v>1.1499999999999999</v>
      </c>
      <c r="K163" s="9">
        <f t="shared" si="8"/>
        <v>31.895249999999997</v>
      </c>
      <c r="L163" s="11">
        <v>0.1</v>
      </c>
      <c r="M163" s="15">
        <f t="shared" si="6"/>
        <v>35.084775</v>
      </c>
    </row>
    <row r="164" spans="1:13" x14ac:dyDescent="0.25">
      <c r="A164" s="5" t="s">
        <v>328</v>
      </c>
      <c r="B164" s="6" t="s">
        <v>329</v>
      </c>
      <c r="C164" s="6" t="str">
        <f>VLOOKUP(A164,'[1]PRECIOS NUEVOS'!$A:$C,3,0)</f>
        <v>plomo tanque</v>
      </c>
      <c r="D164" s="5">
        <v>2</v>
      </c>
      <c r="E164" s="5">
        <v>21.5</v>
      </c>
      <c r="F164" s="5">
        <v>37.4</v>
      </c>
      <c r="G164" s="11">
        <v>0.17</v>
      </c>
      <c r="H164" s="11">
        <v>0.12</v>
      </c>
      <c r="I164" s="8">
        <f t="shared" si="7"/>
        <v>27.734999999999999</v>
      </c>
      <c r="J164" s="10">
        <v>1.1499999999999999</v>
      </c>
      <c r="K164" s="9">
        <f t="shared" si="8"/>
        <v>31.895249999999997</v>
      </c>
      <c r="L164" s="11">
        <v>0.1</v>
      </c>
      <c r="M164" s="15">
        <f t="shared" si="6"/>
        <v>35.084775</v>
      </c>
    </row>
    <row r="165" spans="1:13" ht="30" x14ac:dyDescent="0.25">
      <c r="A165" s="5" t="s">
        <v>330</v>
      </c>
      <c r="B165" s="6" t="s">
        <v>331</v>
      </c>
      <c r="C165" s="6" t="str">
        <f>VLOOKUP(A165,'[1]PRECIOS NUEVOS'!$A:$C,3,0)</f>
        <v>espaciador de rodamientos masa delantera</v>
      </c>
      <c r="D165" s="5">
        <v>2</v>
      </c>
      <c r="E165" s="5">
        <v>3.2</v>
      </c>
      <c r="F165" s="5">
        <v>5.9</v>
      </c>
      <c r="G165" s="11">
        <v>0.17</v>
      </c>
      <c r="H165" s="11">
        <v>0.12</v>
      </c>
      <c r="I165" s="8">
        <f t="shared" si="7"/>
        <v>4.1280000000000001</v>
      </c>
      <c r="J165" s="10">
        <v>1.1499999999999999</v>
      </c>
      <c r="K165" s="9">
        <f t="shared" si="8"/>
        <v>4.7471999999999994</v>
      </c>
      <c r="L165" s="11">
        <v>0.1</v>
      </c>
      <c r="M165" s="15">
        <f t="shared" si="6"/>
        <v>5.2219199999999999</v>
      </c>
    </row>
    <row r="166" spans="1:13" x14ac:dyDescent="0.25">
      <c r="A166" s="5" t="s">
        <v>332</v>
      </c>
      <c r="B166" s="6" t="s">
        <v>333</v>
      </c>
      <c r="C166" s="6" t="str">
        <f>VLOOKUP(A166,'[1]PRECIOS NUEVOS'!$A:$C,3,0)</f>
        <v>cono 6 mm</v>
      </c>
      <c r="D166" s="5">
        <v>4</v>
      </c>
      <c r="E166" s="5">
        <v>9</v>
      </c>
      <c r="F166" s="5">
        <v>15.6</v>
      </c>
      <c r="G166" s="11">
        <v>0.17</v>
      </c>
      <c r="H166" s="11">
        <v>0.12</v>
      </c>
      <c r="I166" s="8">
        <f t="shared" si="7"/>
        <v>11.61</v>
      </c>
      <c r="J166" s="10">
        <v>1.1499999999999999</v>
      </c>
      <c r="K166" s="9">
        <f t="shared" si="8"/>
        <v>13.351499999999998</v>
      </c>
      <c r="L166" s="11">
        <v>0.1</v>
      </c>
      <c r="M166" s="15">
        <f t="shared" si="6"/>
        <v>14.686649999999998</v>
      </c>
    </row>
    <row r="167" spans="1:13" x14ac:dyDescent="0.25">
      <c r="A167" s="5" t="s">
        <v>334</v>
      </c>
      <c r="B167" s="6" t="s">
        <v>335</v>
      </c>
      <c r="C167" s="6" t="str">
        <f>VLOOKUP(A167,'[1]PRECIOS NUEVOS'!$A:$C,3,0)</f>
        <v>cono 4 mm</v>
      </c>
      <c r="D167" s="5">
        <v>4</v>
      </c>
      <c r="E167" s="5">
        <v>9</v>
      </c>
      <c r="F167" s="5">
        <v>15.6</v>
      </c>
      <c r="G167" s="11">
        <v>0.17</v>
      </c>
      <c r="H167" s="11">
        <v>0.12</v>
      </c>
      <c r="I167" s="8">
        <f t="shared" si="7"/>
        <v>11.61</v>
      </c>
      <c r="J167" s="10">
        <v>1.1499999999999999</v>
      </c>
      <c r="K167" s="9">
        <f t="shared" si="8"/>
        <v>13.351499999999998</v>
      </c>
      <c r="L167" s="11">
        <v>0.1</v>
      </c>
      <c r="M167" s="15">
        <f t="shared" si="6"/>
        <v>14.686649999999998</v>
      </c>
    </row>
    <row r="168" spans="1:13" x14ac:dyDescent="0.25">
      <c r="A168" s="5" t="s">
        <v>336</v>
      </c>
      <c r="B168" s="6" t="s">
        <v>337</v>
      </c>
      <c r="C168" s="6" t="str">
        <f>VLOOKUP(A168,'[1]PRECIOS NUEVOS'!$A:$C,3,0)</f>
        <v>cono 2 mm</v>
      </c>
      <c r="D168" s="5">
        <v>4</v>
      </c>
      <c r="E168" s="5">
        <v>9</v>
      </c>
      <c r="F168" s="5">
        <v>15.6</v>
      </c>
      <c r="G168" s="11">
        <v>0.17</v>
      </c>
      <c r="H168" s="11">
        <v>0.12</v>
      </c>
      <c r="I168" s="8">
        <f t="shared" si="7"/>
        <v>11.61</v>
      </c>
      <c r="J168" s="10">
        <v>1.1499999999999999</v>
      </c>
      <c r="K168" s="9">
        <f t="shared" si="8"/>
        <v>13.351499999999998</v>
      </c>
      <c r="L168" s="11">
        <v>0.1</v>
      </c>
      <c r="M168" s="15">
        <f t="shared" si="6"/>
        <v>14.686649999999998</v>
      </c>
    </row>
    <row r="169" spans="1:13" x14ac:dyDescent="0.25">
      <c r="A169" s="5" t="s">
        <v>338</v>
      </c>
      <c r="B169" s="6" t="s">
        <v>339</v>
      </c>
      <c r="C169" s="6" t="str">
        <f>VLOOKUP(A169,'[1]PRECIOS NUEVOS'!$A:$C,3,0)</f>
        <v>cubo para disco estrella 14mm</v>
      </c>
      <c r="D169" s="5">
        <v>2</v>
      </c>
      <c r="E169" s="5">
        <v>32</v>
      </c>
      <c r="F169" s="5">
        <v>55.7</v>
      </c>
      <c r="G169" s="11">
        <v>0.17</v>
      </c>
      <c r="H169" s="11">
        <v>0.12</v>
      </c>
      <c r="I169" s="8">
        <f t="shared" si="7"/>
        <v>41.28</v>
      </c>
      <c r="J169" s="10">
        <v>1.1499999999999999</v>
      </c>
      <c r="K169" s="9">
        <f t="shared" si="8"/>
        <v>47.471999999999994</v>
      </c>
      <c r="L169" s="11">
        <v>0.1</v>
      </c>
      <c r="M169" s="15">
        <f t="shared" si="6"/>
        <v>52.219200000000001</v>
      </c>
    </row>
    <row r="170" spans="1:13" x14ac:dyDescent="0.25">
      <c r="A170" s="5" t="s">
        <v>340</v>
      </c>
      <c r="B170" s="6" t="s">
        <v>341</v>
      </c>
      <c r="C170" s="6" t="str">
        <f>VLOOKUP(A170,'[1]PRECIOS NUEVOS'!$A:$C,3,0)</f>
        <v>cubo para delante de 12 mm</v>
      </c>
      <c r="D170" s="5">
        <v>2</v>
      </c>
      <c r="E170" s="5">
        <v>32</v>
      </c>
      <c r="F170" s="5">
        <v>55.7</v>
      </c>
      <c r="G170" s="11">
        <v>0.17</v>
      </c>
      <c r="H170" s="11">
        <v>0.12</v>
      </c>
      <c r="I170" s="8">
        <f t="shared" si="7"/>
        <v>41.28</v>
      </c>
      <c r="J170" s="10">
        <v>1.1499999999999999</v>
      </c>
      <c r="K170" s="9">
        <f t="shared" si="8"/>
        <v>47.471999999999994</v>
      </c>
      <c r="L170" s="11">
        <v>0.1</v>
      </c>
      <c r="M170" s="15">
        <f t="shared" si="6"/>
        <v>52.219200000000001</v>
      </c>
    </row>
    <row r="171" spans="1:13" x14ac:dyDescent="0.25">
      <c r="A171" s="5" t="s">
        <v>342</v>
      </c>
      <c r="B171" s="6" t="s">
        <v>343</v>
      </c>
      <c r="C171" s="6" t="str">
        <f>VLOOKUP(A171,'[1]PRECIOS NUEVOS'!$A:$C,3,0)</f>
        <v>cubo traser de 11.5</v>
      </c>
      <c r="D171" s="5">
        <v>2</v>
      </c>
      <c r="E171" s="5">
        <v>32</v>
      </c>
      <c r="F171" s="5">
        <v>55.7</v>
      </c>
      <c r="G171" s="11">
        <v>0.17</v>
      </c>
      <c r="H171" s="11">
        <v>0.12</v>
      </c>
      <c r="I171" s="8">
        <f t="shared" si="7"/>
        <v>41.28</v>
      </c>
      <c r="J171" s="10">
        <v>1.1499999999999999</v>
      </c>
      <c r="K171" s="9">
        <f t="shared" si="8"/>
        <v>47.471999999999994</v>
      </c>
      <c r="L171" s="11">
        <v>0.1</v>
      </c>
      <c r="M171" s="15">
        <f t="shared" si="6"/>
        <v>52.219200000000001</v>
      </c>
    </row>
    <row r="172" spans="1:13" x14ac:dyDescent="0.25">
      <c r="A172" s="5" t="s">
        <v>344</v>
      </c>
      <c r="B172" s="6" t="s">
        <v>345</v>
      </c>
      <c r="C172" s="6" t="str">
        <f>VLOOKUP(A172,'[1]PRECIOS NUEVOS'!$A:$C,3,0)</f>
        <v>disco estrella</v>
      </c>
      <c r="D172" s="5">
        <v>2</v>
      </c>
      <c r="E172" s="5">
        <v>16.2</v>
      </c>
      <c r="F172" s="5">
        <v>28.2</v>
      </c>
      <c r="G172" s="11">
        <v>0.17</v>
      </c>
      <c r="H172" s="11">
        <v>0.12</v>
      </c>
      <c r="I172" s="8">
        <f t="shared" si="7"/>
        <v>20.898</v>
      </c>
      <c r="J172" s="10">
        <v>1.1499999999999999</v>
      </c>
      <c r="K172" s="9">
        <f t="shared" si="8"/>
        <v>24.032699999999998</v>
      </c>
      <c r="L172" s="11">
        <v>0.1</v>
      </c>
      <c r="M172" s="15">
        <f t="shared" si="6"/>
        <v>26.435970000000001</v>
      </c>
    </row>
    <row r="173" spans="1:13" x14ac:dyDescent="0.25">
      <c r="A173" s="5" t="s">
        <v>346</v>
      </c>
      <c r="B173" s="6" t="s">
        <v>347</v>
      </c>
      <c r="C173" s="6" t="str">
        <f>VLOOKUP(A173,'[1]PRECIOS NUEVOS'!$A:$C,3,0)</f>
        <v>masa con offset</v>
      </c>
      <c r="D173" s="5">
        <v>1</v>
      </c>
      <c r="E173" s="5">
        <v>4</v>
      </c>
      <c r="F173" s="5">
        <v>7.5</v>
      </c>
      <c r="G173" s="11">
        <v>0.17</v>
      </c>
      <c r="H173" s="11">
        <v>0.12</v>
      </c>
      <c r="I173" s="8">
        <f t="shared" si="7"/>
        <v>5.16</v>
      </c>
      <c r="J173" s="10">
        <v>1.1499999999999999</v>
      </c>
      <c r="K173" s="9">
        <f t="shared" si="8"/>
        <v>5.9339999999999993</v>
      </c>
      <c r="L173" s="11">
        <v>0.1</v>
      </c>
      <c r="M173" s="15">
        <f t="shared" si="6"/>
        <v>6.5274000000000001</v>
      </c>
    </row>
    <row r="174" spans="1:13" x14ac:dyDescent="0.25">
      <c r="A174" s="5" t="s">
        <v>348</v>
      </c>
      <c r="B174" s="6" t="s">
        <v>349</v>
      </c>
      <c r="C174" s="6" t="str">
        <f>VLOOKUP(A174,'[1]PRECIOS NUEVOS'!$A:$C,3,0)</f>
        <v>der-izq de servos</v>
      </c>
      <c r="D174" s="5">
        <v>1</v>
      </c>
      <c r="E174" s="5">
        <v>7</v>
      </c>
      <c r="F174" s="5">
        <v>12.9</v>
      </c>
      <c r="G174" s="11">
        <v>0.17</v>
      </c>
      <c r="H174" s="11">
        <v>0.12</v>
      </c>
      <c r="I174" s="8">
        <f t="shared" si="7"/>
        <v>9.0300000000000011</v>
      </c>
      <c r="J174" s="10">
        <v>1.1499999999999999</v>
      </c>
      <c r="K174" s="9">
        <f t="shared" si="8"/>
        <v>10.384500000000001</v>
      </c>
      <c r="L174" s="11">
        <v>0.1</v>
      </c>
      <c r="M174" s="15">
        <f t="shared" si="6"/>
        <v>11.422950000000002</v>
      </c>
    </row>
    <row r="175" spans="1:13" x14ac:dyDescent="0.25">
      <c r="A175" s="5" t="s">
        <v>350</v>
      </c>
      <c r="B175" s="6" t="s">
        <v>351</v>
      </c>
      <c r="C175" s="6" t="str">
        <f>VLOOKUP(A175,'[1]PRECIOS NUEVOS'!$A:$C,3,0)</f>
        <v>rotula de 3mm completa</v>
      </c>
      <c r="D175" s="5">
        <v>1</v>
      </c>
      <c r="E175" s="5">
        <v>5.5</v>
      </c>
      <c r="F175" s="5">
        <v>10.1</v>
      </c>
      <c r="G175" s="11">
        <v>0.17</v>
      </c>
      <c r="H175" s="11">
        <v>0.12</v>
      </c>
      <c r="I175" s="8">
        <f t="shared" si="7"/>
        <v>7.0950000000000006</v>
      </c>
      <c r="J175" s="10">
        <v>1.1499999999999999</v>
      </c>
      <c r="K175" s="9">
        <f t="shared" si="8"/>
        <v>8.1592500000000001</v>
      </c>
      <c r="L175" s="11">
        <v>0.1</v>
      </c>
      <c r="M175" s="15">
        <f t="shared" si="6"/>
        <v>8.9751750000000001</v>
      </c>
    </row>
    <row r="176" spans="1:13" x14ac:dyDescent="0.25">
      <c r="A176" s="5" t="s">
        <v>352</v>
      </c>
      <c r="B176" s="6" t="s">
        <v>353</v>
      </c>
      <c r="C176" s="6" t="str">
        <f>VLOOKUP(A176,'[1]PRECIOS NUEVOS'!$A:$C,3,0)</f>
        <v>tensor de motor (atras)</v>
      </c>
      <c r="D176" s="5">
        <v>1</v>
      </c>
      <c r="E176" s="5">
        <v>25</v>
      </c>
      <c r="F176" s="5">
        <v>43.5</v>
      </c>
      <c r="G176" s="11">
        <v>0.17</v>
      </c>
      <c r="H176" s="11">
        <v>0.12</v>
      </c>
      <c r="I176" s="8">
        <f t="shared" si="7"/>
        <v>32.25</v>
      </c>
      <c r="J176" s="10">
        <v>1.1499999999999999</v>
      </c>
      <c r="K176" s="9">
        <f t="shared" si="8"/>
        <v>37.087499999999999</v>
      </c>
      <c r="L176" s="11">
        <v>0.1</v>
      </c>
      <c r="M176" s="15">
        <f t="shared" si="6"/>
        <v>40.796250000000001</v>
      </c>
    </row>
    <row r="177" spans="1:13" x14ac:dyDescent="0.25">
      <c r="A177" s="5" t="s">
        <v>354</v>
      </c>
      <c r="B177" s="6" t="s">
        <v>355</v>
      </c>
      <c r="C177" s="6" t="str">
        <f>VLOOKUP(A177,'[1]PRECIOS NUEVOS'!$A:$C,3,0)</f>
        <v>cubo de diferencial</v>
      </c>
      <c r="D177" s="5">
        <v>1</v>
      </c>
      <c r="E177" s="5">
        <v>14.5</v>
      </c>
      <c r="F177" s="5">
        <v>25.2</v>
      </c>
      <c r="G177" s="11">
        <v>0.17</v>
      </c>
      <c r="H177" s="11">
        <v>0.12</v>
      </c>
      <c r="I177" s="8">
        <f t="shared" si="7"/>
        <v>18.705000000000002</v>
      </c>
      <c r="J177" s="10">
        <v>1.1499999999999999</v>
      </c>
      <c r="K177" s="9">
        <f t="shared" si="8"/>
        <v>21.510750000000002</v>
      </c>
      <c r="L177" s="11">
        <v>0.1</v>
      </c>
      <c r="M177" s="15">
        <f t="shared" si="6"/>
        <v>23.661825000000004</v>
      </c>
    </row>
    <row r="178" spans="1:13" x14ac:dyDescent="0.25">
      <c r="A178" s="5" t="s">
        <v>356</v>
      </c>
      <c r="B178" s="6" t="s">
        <v>357</v>
      </c>
      <c r="C178" s="6" t="str">
        <f>VLOOKUP(A178,'[1]PRECIOS NUEVOS'!$A:$C,3,0)</f>
        <v>chasis calado</v>
      </c>
      <c r="D178" s="5">
        <v>1</v>
      </c>
      <c r="E178" s="5">
        <v>167</v>
      </c>
      <c r="F178" s="5">
        <v>290.5</v>
      </c>
      <c r="G178" s="11">
        <v>0.17</v>
      </c>
      <c r="H178" s="11">
        <v>0.12</v>
      </c>
      <c r="I178" s="8">
        <f t="shared" si="7"/>
        <v>215.43</v>
      </c>
      <c r="J178" s="10">
        <v>1.1499999999999999</v>
      </c>
      <c r="K178" s="9">
        <f t="shared" si="8"/>
        <v>247.74449999999999</v>
      </c>
      <c r="L178" s="11">
        <v>0.1</v>
      </c>
      <c r="M178" s="15">
        <f t="shared" si="6"/>
        <v>272.51895000000002</v>
      </c>
    </row>
    <row r="179" spans="1:13" x14ac:dyDescent="0.25">
      <c r="A179" s="5" t="s">
        <v>358</v>
      </c>
      <c r="B179" s="6" t="s">
        <v>359</v>
      </c>
      <c r="C179" s="6" t="str">
        <f>VLOOKUP(A179,'[1]PRECIOS NUEVOS'!$A:$C,3,0)</f>
        <v>soporte nuevo de bateria</v>
      </c>
      <c r="D179" s="5">
        <v>1</v>
      </c>
      <c r="E179" s="5">
        <v>44</v>
      </c>
      <c r="F179" s="5">
        <v>76.5</v>
      </c>
      <c r="G179" s="11">
        <v>0.17</v>
      </c>
      <c r="H179" s="11">
        <v>0.12</v>
      </c>
      <c r="I179" s="8">
        <f t="shared" si="7"/>
        <v>56.760000000000005</v>
      </c>
      <c r="J179" s="10">
        <v>1.1499999999999999</v>
      </c>
      <c r="K179" s="9">
        <f t="shared" si="8"/>
        <v>65.274000000000001</v>
      </c>
      <c r="L179" s="11">
        <v>0.1</v>
      </c>
      <c r="M179" s="15">
        <f t="shared" si="6"/>
        <v>71.801400000000001</v>
      </c>
    </row>
    <row r="180" spans="1:13" x14ac:dyDescent="0.25">
      <c r="A180" s="5" t="s">
        <v>360</v>
      </c>
      <c r="B180" s="6" t="s">
        <v>361</v>
      </c>
      <c r="C180" s="6" t="e">
        <f>VLOOKUP(A180,'[1]PRECIOS NUEVOS'!$A:$C,3,0)</f>
        <v>#N/A</v>
      </c>
      <c r="D180" s="5">
        <v>1</v>
      </c>
      <c r="E180" s="5">
        <v>6</v>
      </c>
      <c r="F180" s="5">
        <v>11</v>
      </c>
      <c r="G180" s="11">
        <v>0.17</v>
      </c>
      <c r="H180" s="11">
        <v>0.12</v>
      </c>
      <c r="I180" s="8">
        <f t="shared" si="7"/>
        <v>7.74</v>
      </c>
      <c r="J180" s="10">
        <v>1.1499999999999999</v>
      </c>
      <c r="K180" s="9">
        <f t="shared" si="8"/>
        <v>8.9009999999999998</v>
      </c>
      <c r="L180" s="11">
        <v>0.1</v>
      </c>
      <c r="M180" s="15">
        <f t="shared" si="6"/>
        <v>9.7911000000000001</v>
      </c>
    </row>
    <row r="181" spans="1:13" ht="30" x14ac:dyDescent="0.25">
      <c r="A181" s="5" t="s">
        <v>362</v>
      </c>
      <c r="B181" s="6" t="s">
        <v>363</v>
      </c>
      <c r="C181" s="6">
        <f>VLOOKUP(A181,'[1]PRECIOS NUEVOS'!$A:$C,3,0)</f>
        <v>0</v>
      </c>
      <c r="D181" s="5">
        <v>1</v>
      </c>
      <c r="E181" s="5">
        <v>246.5</v>
      </c>
      <c r="F181" s="5">
        <v>428</v>
      </c>
      <c r="G181" s="11">
        <v>0.17</v>
      </c>
      <c r="H181" s="11">
        <v>0.12</v>
      </c>
      <c r="I181" s="8">
        <f t="shared" si="7"/>
        <v>317.98500000000001</v>
      </c>
      <c r="J181" s="10">
        <v>1.1499999999999999</v>
      </c>
      <c r="K181" s="9">
        <f t="shared" si="8"/>
        <v>365.68275</v>
      </c>
      <c r="L181" s="11">
        <v>0.1</v>
      </c>
      <c r="M181" s="15">
        <f t="shared" si="6"/>
        <v>402.25102500000003</v>
      </c>
    </row>
    <row r="182" spans="1:13" ht="30" x14ac:dyDescent="0.25">
      <c r="A182" s="5" t="s">
        <v>364</v>
      </c>
      <c r="B182" s="6" t="s">
        <v>365</v>
      </c>
      <c r="C182" s="6">
        <f>VLOOKUP(A182,'[1]PRECIOS NUEVOS'!$A:$C,3,0)</f>
        <v>0</v>
      </c>
      <c r="D182" s="5">
        <v>1</v>
      </c>
      <c r="E182" s="5">
        <v>246.5</v>
      </c>
      <c r="F182" s="5">
        <v>428</v>
      </c>
      <c r="G182" s="11">
        <v>0.17</v>
      </c>
      <c r="H182" s="11">
        <v>0.12</v>
      </c>
      <c r="I182" s="8">
        <f t="shared" si="7"/>
        <v>317.98500000000001</v>
      </c>
      <c r="J182" s="10">
        <v>1.1499999999999999</v>
      </c>
      <c r="K182" s="9">
        <f t="shared" si="8"/>
        <v>365.68275</v>
      </c>
      <c r="L182" s="11">
        <v>0.1</v>
      </c>
      <c r="M182" s="15">
        <f t="shared" si="6"/>
        <v>402.25102500000003</v>
      </c>
    </row>
    <row r="183" spans="1:13" x14ac:dyDescent="0.25">
      <c r="A183" s="5" t="s">
        <v>366</v>
      </c>
      <c r="B183" s="6" t="s">
        <v>367</v>
      </c>
      <c r="C183" s="6">
        <f>VLOOKUP(A183,'[1]PRECIOS NUEVOS'!$A:$C,3,0)</f>
        <v>0</v>
      </c>
      <c r="D183" s="5">
        <v>1</v>
      </c>
      <c r="E183" s="5">
        <v>55</v>
      </c>
      <c r="F183" s="5">
        <v>95.7</v>
      </c>
      <c r="G183" s="11">
        <v>0.17</v>
      </c>
      <c r="H183" s="11">
        <v>0.12</v>
      </c>
      <c r="I183" s="8">
        <f t="shared" si="7"/>
        <v>70.95</v>
      </c>
      <c r="J183" s="10">
        <v>1.1499999999999999</v>
      </c>
      <c r="K183" s="9">
        <f t="shared" si="8"/>
        <v>81.592500000000001</v>
      </c>
      <c r="L183" s="11">
        <v>0.1</v>
      </c>
      <c r="M183" s="15">
        <f t="shared" si="6"/>
        <v>89.751750000000015</v>
      </c>
    </row>
    <row r="184" spans="1:13" x14ac:dyDescent="0.25">
      <c r="A184" s="5" t="s">
        <v>368</v>
      </c>
      <c r="B184" s="6" t="s">
        <v>369</v>
      </c>
      <c r="C184" s="6">
        <f>VLOOKUP(A184,'[1]PRECIOS NUEVOS'!$A:$C,3,0)</f>
        <v>0</v>
      </c>
      <c r="D184" s="5">
        <v>1</v>
      </c>
      <c r="E184" s="5">
        <v>55</v>
      </c>
      <c r="F184" s="5">
        <v>95.7</v>
      </c>
      <c r="G184" s="11">
        <v>0.17</v>
      </c>
      <c r="H184" s="11">
        <v>0.12</v>
      </c>
      <c r="I184" s="8">
        <f t="shared" si="7"/>
        <v>70.95</v>
      </c>
      <c r="J184" s="10">
        <v>1.1499999999999999</v>
      </c>
      <c r="K184" s="9">
        <f t="shared" si="8"/>
        <v>81.592500000000001</v>
      </c>
      <c r="L184" s="11">
        <v>0.1</v>
      </c>
      <c r="M184" s="15">
        <f t="shared" si="6"/>
        <v>89.751750000000015</v>
      </c>
    </row>
    <row r="185" spans="1:13" ht="30" x14ac:dyDescent="0.25">
      <c r="A185" s="5" t="s">
        <v>370</v>
      </c>
      <c r="B185" s="6" t="s">
        <v>371</v>
      </c>
      <c r="C185" s="6">
        <f>VLOOKUP(A185,'[1]PRECIOS NUEVOS'!$A:$C,3,0)</f>
        <v>0</v>
      </c>
      <c r="D185" s="5">
        <v>1</v>
      </c>
      <c r="E185" s="5">
        <v>12</v>
      </c>
      <c r="F185" s="5">
        <v>20.9</v>
      </c>
      <c r="G185" s="11">
        <v>0.17</v>
      </c>
      <c r="H185" s="11">
        <v>0.12</v>
      </c>
      <c r="I185" s="8">
        <f t="shared" si="7"/>
        <v>15.48</v>
      </c>
      <c r="J185" s="10">
        <v>1.1499999999999999</v>
      </c>
      <c r="K185" s="9">
        <f t="shared" si="8"/>
        <v>17.802</v>
      </c>
      <c r="L185" s="11">
        <v>0.1</v>
      </c>
      <c r="M185" s="15">
        <f t="shared" si="6"/>
        <v>19.5822</v>
      </c>
    </row>
    <row r="186" spans="1:13" ht="30" x14ac:dyDescent="0.25">
      <c r="A186" s="5" t="s">
        <v>372</v>
      </c>
      <c r="B186" s="6" t="s">
        <v>373</v>
      </c>
      <c r="C186" s="6">
        <f>VLOOKUP(A186,'[1]PRECIOS NUEVOS'!$A:$C,3,0)</f>
        <v>0</v>
      </c>
      <c r="D186" s="5">
        <v>1</v>
      </c>
      <c r="E186" s="5">
        <v>8</v>
      </c>
      <c r="F186" s="5">
        <v>14.7</v>
      </c>
      <c r="G186" s="11">
        <v>0.17</v>
      </c>
      <c r="H186" s="11">
        <v>0.12</v>
      </c>
      <c r="I186" s="8">
        <f t="shared" si="7"/>
        <v>10.32</v>
      </c>
      <c r="J186" s="10">
        <v>1.1499999999999999</v>
      </c>
      <c r="K186" s="9">
        <f t="shared" si="8"/>
        <v>11.867999999999999</v>
      </c>
      <c r="L186" s="11">
        <v>0.1</v>
      </c>
      <c r="M186" s="15">
        <f t="shared" si="6"/>
        <v>13.0548</v>
      </c>
    </row>
    <row r="187" spans="1:13" x14ac:dyDescent="0.25">
      <c r="A187" s="5" t="s">
        <v>374</v>
      </c>
      <c r="B187" s="6" t="s">
        <v>375</v>
      </c>
      <c r="C187" s="6">
        <f>VLOOKUP(A187,'[1]PRECIOS NUEVOS'!$A:$C,3,0)</f>
        <v>0</v>
      </c>
      <c r="D187" s="5">
        <v>1</v>
      </c>
      <c r="E187" s="5">
        <v>4.5</v>
      </c>
      <c r="F187" s="5">
        <v>8.3000000000000007</v>
      </c>
      <c r="G187" s="11">
        <v>0.17</v>
      </c>
      <c r="H187" s="11">
        <v>0.12</v>
      </c>
      <c r="I187" s="8">
        <f t="shared" si="7"/>
        <v>5.8049999999999997</v>
      </c>
      <c r="J187" s="10">
        <v>1.1499999999999999</v>
      </c>
      <c r="K187" s="9">
        <f t="shared" si="8"/>
        <v>6.675749999999999</v>
      </c>
      <c r="L187" s="11">
        <v>0.1</v>
      </c>
      <c r="M187" s="15">
        <f t="shared" si="6"/>
        <v>7.3433249999999992</v>
      </c>
    </row>
    <row r="188" spans="1:13" ht="30" x14ac:dyDescent="0.25">
      <c r="A188" s="5" t="s">
        <v>376</v>
      </c>
      <c r="B188" s="6" t="s">
        <v>377</v>
      </c>
      <c r="C188" s="6" t="str">
        <f>VLOOKUP(A188,'[1]PRECIOS NUEVOS'!$A:$C,3,0)</f>
        <v>posiciones de barra trasera con 4 izquierda</v>
      </c>
      <c r="D188" s="5">
        <v>1</v>
      </c>
      <c r="E188" s="5">
        <v>13</v>
      </c>
      <c r="F188" s="5">
        <v>22.6</v>
      </c>
      <c r="G188" s="11">
        <v>0.17</v>
      </c>
      <c r="H188" s="11">
        <v>0.12</v>
      </c>
      <c r="I188" s="8">
        <f t="shared" si="7"/>
        <v>16.77</v>
      </c>
      <c r="J188" s="10">
        <v>1.1499999999999999</v>
      </c>
      <c r="K188" s="9">
        <f t="shared" si="8"/>
        <v>19.285499999999999</v>
      </c>
      <c r="L188" s="11">
        <v>0.1</v>
      </c>
      <c r="M188" s="15">
        <f t="shared" si="6"/>
        <v>21.21405</v>
      </c>
    </row>
    <row r="189" spans="1:13" ht="30" x14ac:dyDescent="0.25">
      <c r="A189" s="5" t="s">
        <v>378</v>
      </c>
      <c r="B189" s="6" t="s">
        <v>379</v>
      </c>
      <c r="C189" s="6" t="str">
        <f>VLOOKUP(A189,'[1]PRECIOS NUEVOS'!$A:$C,3,0)</f>
        <v>posiciones de barra trasera con 4 derecha</v>
      </c>
      <c r="D189" s="5">
        <v>1</v>
      </c>
      <c r="E189" s="5">
        <v>13</v>
      </c>
      <c r="F189" s="5">
        <v>22.6</v>
      </c>
      <c r="G189" s="11">
        <v>0.17</v>
      </c>
      <c r="H189" s="11">
        <v>0.12</v>
      </c>
      <c r="I189" s="8">
        <f t="shared" si="7"/>
        <v>16.77</v>
      </c>
      <c r="J189" s="10">
        <v>1.1499999999999999</v>
      </c>
      <c r="K189" s="9">
        <f t="shared" si="8"/>
        <v>19.285499999999999</v>
      </c>
      <c r="L189" s="11">
        <v>0.1</v>
      </c>
      <c r="M189" s="15">
        <f t="shared" si="6"/>
        <v>21.21405</v>
      </c>
    </row>
    <row r="190" spans="1:13" x14ac:dyDescent="0.25">
      <c r="A190" s="5" t="s">
        <v>380</v>
      </c>
      <c r="B190" s="6" t="s">
        <v>381</v>
      </c>
      <c r="C190" s="6" t="str">
        <f>VLOOKUP(A190,'[1]PRECIOS NUEVOS'!$A:$C,3,0)</f>
        <v>piñon 34</v>
      </c>
      <c r="D190" s="5">
        <v>1</v>
      </c>
      <c r="E190" s="5">
        <v>19</v>
      </c>
      <c r="F190" s="5">
        <v>33</v>
      </c>
      <c r="G190" s="11">
        <v>0.17</v>
      </c>
      <c r="H190" s="11">
        <v>0.12</v>
      </c>
      <c r="I190" s="8">
        <f t="shared" si="7"/>
        <v>24.51</v>
      </c>
      <c r="J190" s="10">
        <v>1.1499999999999999</v>
      </c>
      <c r="K190" s="9">
        <f t="shared" si="8"/>
        <v>28.186499999999999</v>
      </c>
      <c r="L190" s="11">
        <v>0.1</v>
      </c>
      <c r="M190" s="15">
        <f t="shared" si="6"/>
        <v>31.00515</v>
      </c>
    </row>
    <row r="191" spans="1:13" x14ac:dyDescent="0.25">
      <c r="A191" s="5" t="s">
        <v>382</v>
      </c>
      <c r="B191" s="6" t="s">
        <v>383</v>
      </c>
      <c r="C191" s="6" t="str">
        <f>VLOOKUP(A191,'[1]PRECIOS NUEVOS'!$A:$C,3,0)</f>
        <v>KIT TREN DELANTERO</v>
      </c>
      <c r="D191" s="5">
        <v>1</v>
      </c>
      <c r="E191" s="5">
        <v>473</v>
      </c>
      <c r="F191" s="5">
        <v>755</v>
      </c>
      <c r="G191" s="11">
        <v>0.17</v>
      </c>
      <c r="H191" s="11">
        <v>0.12</v>
      </c>
      <c r="I191" s="8">
        <f t="shared" si="7"/>
        <v>610.17000000000007</v>
      </c>
      <c r="J191" s="10">
        <v>1.1499999999999999</v>
      </c>
      <c r="K191" s="9">
        <f t="shared" si="8"/>
        <v>701.69550000000004</v>
      </c>
      <c r="L191" s="11">
        <v>0.1</v>
      </c>
      <c r="M191" s="15">
        <f t="shared" si="6"/>
        <v>771.86505000000011</v>
      </c>
    </row>
    <row r="192" spans="1:13" x14ac:dyDescent="0.25">
      <c r="A192" s="5" t="s">
        <v>384</v>
      </c>
      <c r="B192" s="6" t="s">
        <v>385</v>
      </c>
      <c r="C192" s="6" t="str">
        <f>VLOOKUP(A192,'[1]PRECIOS NUEVOS'!$A:$C,3,0)</f>
        <v>peso de servos . no grande</v>
      </c>
      <c r="D192" s="5">
        <v>1</v>
      </c>
      <c r="E192" s="5">
        <v>21.5</v>
      </c>
      <c r="F192" s="5">
        <v>37.4</v>
      </c>
      <c r="G192" s="11">
        <v>0.17</v>
      </c>
      <c r="H192" s="11">
        <v>0.12</v>
      </c>
      <c r="I192" s="8">
        <f t="shared" si="7"/>
        <v>27.734999999999999</v>
      </c>
      <c r="J192" s="10">
        <v>1.1499999999999999</v>
      </c>
      <c r="K192" s="9">
        <f t="shared" si="8"/>
        <v>31.895249999999997</v>
      </c>
      <c r="L192" s="11">
        <v>0.1</v>
      </c>
      <c r="M192" s="15">
        <f t="shared" si="6"/>
        <v>35.084775</v>
      </c>
    </row>
    <row r="193" spans="1:13" x14ac:dyDescent="0.25">
      <c r="A193" s="5" t="s">
        <v>386</v>
      </c>
      <c r="B193" s="6" t="s">
        <v>387</v>
      </c>
      <c r="C193" s="6">
        <f>VLOOKUP(A193,'[1]PRECIOS NUEVOS'!$A:$C,3,0)</f>
        <v>0</v>
      </c>
      <c r="D193" s="5">
        <v>2</v>
      </c>
      <c r="E193" s="5">
        <v>21.5</v>
      </c>
      <c r="F193" s="5">
        <v>37.4</v>
      </c>
      <c r="G193" s="11">
        <v>0.17</v>
      </c>
      <c r="H193" s="11">
        <v>0.12</v>
      </c>
      <c r="I193" s="8">
        <f t="shared" si="7"/>
        <v>27.734999999999999</v>
      </c>
      <c r="J193" s="10">
        <v>1.1499999999999999</v>
      </c>
      <c r="K193" s="9">
        <f t="shared" si="8"/>
        <v>31.895249999999997</v>
      </c>
      <c r="L193" s="11">
        <v>0.1</v>
      </c>
      <c r="M193" s="15">
        <f t="shared" si="6"/>
        <v>35.084775</v>
      </c>
    </row>
    <row r="194" spans="1:13" x14ac:dyDescent="0.25">
      <c r="A194" s="5" t="s">
        <v>388</v>
      </c>
      <c r="B194" s="6" t="s">
        <v>389</v>
      </c>
      <c r="C194" s="6" t="str">
        <f>VLOOKUP(A194,'[1]PRECIOS NUEVOS'!$A:$C,3,0)</f>
        <v>barra nueva trasera</v>
      </c>
      <c r="D194" s="5">
        <v>1</v>
      </c>
      <c r="E194" s="5">
        <v>100</v>
      </c>
      <c r="F194" s="5">
        <v>174</v>
      </c>
      <c r="G194" s="11">
        <v>0.17</v>
      </c>
      <c r="H194" s="11">
        <v>0.12</v>
      </c>
      <c r="I194" s="8">
        <f t="shared" si="7"/>
        <v>129</v>
      </c>
      <c r="J194" s="10">
        <v>1.1499999999999999</v>
      </c>
      <c r="K194" s="9">
        <f t="shared" si="8"/>
        <v>148.35</v>
      </c>
      <c r="L194" s="11">
        <v>0.1</v>
      </c>
      <c r="M194" s="15">
        <f t="shared" ref="M194:M257" si="9">K194*(1+L194)</f>
        <v>163.185</v>
      </c>
    </row>
    <row r="195" spans="1:13" x14ac:dyDescent="0.25">
      <c r="A195" s="5" t="s">
        <v>390</v>
      </c>
      <c r="B195" s="6" t="s">
        <v>391</v>
      </c>
      <c r="C195" s="6" t="str">
        <f>VLOOKUP(A195,'[1]PRECIOS NUEVOS'!$A:$C,3,0)</f>
        <v>salva servo nuevo completo</v>
      </c>
      <c r="D195" s="5">
        <v>1</v>
      </c>
      <c r="E195" s="5">
        <v>94</v>
      </c>
      <c r="F195" s="5">
        <v>148.80000000000001</v>
      </c>
      <c r="G195" s="11">
        <v>0.17</v>
      </c>
      <c r="H195" s="11">
        <v>0.12</v>
      </c>
      <c r="I195" s="8">
        <f t="shared" ref="I195:I258" si="10">E195*(1+G195+H195)</f>
        <v>121.26</v>
      </c>
      <c r="J195" s="10">
        <v>1.1499999999999999</v>
      </c>
      <c r="K195" s="9">
        <f t="shared" ref="K195:K258" si="11">I195*J195</f>
        <v>139.44899999999998</v>
      </c>
      <c r="L195" s="11">
        <v>0.1</v>
      </c>
      <c r="M195" s="15">
        <f t="shared" si="9"/>
        <v>153.3939</v>
      </c>
    </row>
    <row r="196" spans="1:13" ht="30" x14ac:dyDescent="0.25">
      <c r="A196" s="5" t="s">
        <v>392</v>
      </c>
      <c r="B196" s="6" t="s">
        <v>393</v>
      </c>
      <c r="C196" s="6" t="str">
        <f>VLOOKUP(A196,'[1]PRECIOS NUEVOS'!$A:$C,3,0)</f>
        <v>parrilla inferior tren delantero nuevo izquierda</v>
      </c>
      <c r="D196" s="5">
        <v>1</v>
      </c>
      <c r="E196" s="5">
        <v>38.5</v>
      </c>
      <c r="F196" s="5">
        <v>67</v>
      </c>
      <c r="G196" s="11">
        <v>0.17</v>
      </c>
      <c r="H196" s="11">
        <v>0.12</v>
      </c>
      <c r="I196" s="8">
        <f t="shared" si="10"/>
        <v>49.664999999999999</v>
      </c>
      <c r="J196" s="10">
        <v>1.1499999999999999</v>
      </c>
      <c r="K196" s="9">
        <f t="shared" si="11"/>
        <v>57.114749999999994</v>
      </c>
      <c r="L196" s="11">
        <v>0.1</v>
      </c>
      <c r="M196" s="15">
        <f t="shared" si="9"/>
        <v>62.826225000000001</v>
      </c>
    </row>
    <row r="197" spans="1:13" ht="30" x14ac:dyDescent="0.25">
      <c r="A197" s="5" t="s">
        <v>394</v>
      </c>
      <c r="B197" s="6" t="s">
        <v>395</v>
      </c>
      <c r="C197" s="6" t="str">
        <f>VLOOKUP(A197,'[1]PRECIOS NUEVOS'!$A:$C,3,0)</f>
        <v>parrilla inferior tren delantero nuevo derecha</v>
      </c>
      <c r="D197" s="5">
        <v>1</v>
      </c>
      <c r="E197" s="5">
        <v>38.5</v>
      </c>
      <c r="F197" s="5">
        <v>67</v>
      </c>
      <c r="G197" s="11">
        <v>0.17</v>
      </c>
      <c r="H197" s="11">
        <v>0.12</v>
      </c>
      <c r="I197" s="8">
        <f t="shared" si="10"/>
        <v>49.664999999999999</v>
      </c>
      <c r="J197" s="10">
        <v>1.1499999999999999</v>
      </c>
      <c r="K197" s="9">
        <f t="shared" si="11"/>
        <v>57.114749999999994</v>
      </c>
      <c r="L197" s="11">
        <v>0.1</v>
      </c>
      <c r="M197" s="15">
        <f t="shared" si="9"/>
        <v>62.826225000000001</v>
      </c>
    </row>
    <row r="198" spans="1:13" ht="30" x14ac:dyDescent="0.25">
      <c r="A198" s="5" t="s">
        <v>396</v>
      </c>
      <c r="B198" s="6" t="s">
        <v>397</v>
      </c>
      <c r="C198" s="6" t="str">
        <f>VLOOKUP(A198,'[1]PRECIOS NUEVOS'!$A:$C,3,0)</f>
        <v>cuaderna tren delantero nuevo izquierda</v>
      </c>
      <c r="D198" s="5">
        <v>1</v>
      </c>
      <c r="E198" s="5">
        <v>49.5</v>
      </c>
      <c r="F198" s="5">
        <v>86</v>
      </c>
      <c r="G198" s="11">
        <v>0.17</v>
      </c>
      <c r="H198" s="11">
        <v>0.12</v>
      </c>
      <c r="I198" s="8">
        <f t="shared" si="10"/>
        <v>63.855000000000004</v>
      </c>
      <c r="J198" s="10">
        <v>1.1499999999999999</v>
      </c>
      <c r="K198" s="9">
        <f t="shared" si="11"/>
        <v>73.433250000000001</v>
      </c>
      <c r="L198" s="11">
        <v>0.1</v>
      </c>
      <c r="M198" s="15">
        <f t="shared" si="9"/>
        <v>80.776575000000008</v>
      </c>
    </row>
    <row r="199" spans="1:13" ht="30" x14ac:dyDescent="0.25">
      <c r="A199" s="5" t="s">
        <v>398</v>
      </c>
      <c r="B199" s="6" t="s">
        <v>399</v>
      </c>
      <c r="C199" s="6" t="str">
        <f>VLOOKUP(A199,'[1]PRECIOS NUEVOS'!$A:$C,3,0)</f>
        <v>cuaderna tren delantero nuevo izquierda</v>
      </c>
      <c r="D199" s="5">
        <v>1</v>
      </c>
      <c r="E199" s="5">
        <v>49.5</v>
      </c>
      <c r="F199" s="5">
        <v>86</v>
      </c>
      <c r="G199" s="11">
        <v>0.17</v>
      </c>
      <c r="H199" s="11">
        <v>0.12</v>
      </c>
      <c r="I199" s="8">
        <f t="shared" si="10"/>
        <v>63.855000000000004</v>
      </c>
      <c r="J199" s="10">
        <v>1.1499999999999999</v>
      </c>
      <c r="K199" s="9">
        <f t="shared" si="11"/>
        <v>73.433250000000001</v>
      </c>
      <c r="L199" s="11">
        <v>0.1</v>
      </c>
      <c r="M199" s="15">
        <f t="shared" si="9"/>
        <v>80.776575000000008</v>
      </c>
    </row>
    <row r="200" spans="1:13" ht="30" x14ac:dyDescent="0.25">
      <c r="A200" s="5" t="s">
        <v>400</v>
      </c>
      <c r="B200" s="6" t="s">
        <v>401</v>
      </c>
      <c r="C200" s="6" t="str">
        <f>VLOOKUP(A200,'[1]PRECIOS NUEVOS'!$A:$C,3,0)</f>
        <v>carbono que une cuadernas tren delantero viejo</v>
      </c>
      <c r="D200" s="5">
        <v>1</v>
      </c>
      <c r="E200" s="5">
        <v>15</v>
      </c>
      <c r="F200" s="5">
        <v>26.1</v>
      </c>
      <c r="G200" s="11">
        <v>0.17</v>
      </c>
      <c r="H200" s="11">
        <v>0.12</v>
      </c>
      <c r="I200" s="8">
        <f t="shared" si="10"/>
        <v>19.350000000000001</v>
      </c>
      <c r="J200" s="10">
        <v>1.1499999999999999</v>
      </c>
      <c r="K200" s="9">
        <f t="shared" si="11"/>
        <v>22.252500000000001</v>
      </c>
      <c r="L200" s="11">
        <v>0.1</v>
      </c>
      <c r="M200" s="15">
        <f t="shared" si="9"/>
        <v>24.477750000000004</v>
      </c>
    </row>
    <row r="201" spans="1:13" ht="30" x14ac:dyDescent="0.25">
      <c r="A201" s="5" t="s">
        <v>402</v>
      </c>
      <c r="B201" s="6" t="s">
        <v>403</v>
      </c>
      <c r="C201" s="6" t="str">
        <f>VLOOKUP(A201,'[1]PRECIOS NUEVOS'!$A:$C,3,0)</f>
        <v>torreta de amortiguadores tren delantero viejo</v>
      </c>
      <c r="D201" s="5">
        <v>1</v>
      </c>
      <c r="E201" s="5">
        <v>22</v>
      </c>
      <c r="F201" s="5">
        <v>38.299999999999997</v>
      </c>
      <c r="G201" s="11">
        <v>0.17</v>
      </c>
      <c r="H201" s="11">
        <v>0.12</v>
      </c>
      <c r="I201" s="8">
        <f t="shared" si="10"/>
        <v>28.380000000000003</v>
      </c>
      <c r="J201" s="10">
        <v>1.1499999999999999</v>
      </c>
      <c r="K201" s="9">
        <f t="shared" si="11"/>
        <v>32.637</v>
      </c>
      <c r="L201" s="11">
        <v>0.1</v>
      </c>
      <c r="M201" s="15">
        <f t="shared" si="9"/>
        <v>35.900700000000001</v>
      </c>
    </row>
    <row r="202" spans="1:13" ht="30" x14ac:dyDescent="0.25">
      <c r="A202" s="5" t="s">
        <v>404</v>
      </c>
      <c r="B202" s="6" t="s">
        <v>405</v>
      </c>
      <c r="C202" s="6" t="str">
        <f>VLOOKUP(A202,'[1]PRECIOS NUEVOS'!$A:$C,3,0)</f>
        <v>triangulo de salvaservo tren delantero nuevo</v>
      </c>
      <c r="D202" s="5">
        <v>1</v>
      </c>
      <c r="E202" s="5">
        <v>17.5</v>
      </c>
      <c r="F202" s="5">
        <v>30.45</v>
      </c>
      <c r="G202" s="11">
        <v>0.17</v>
      </c>
      <c r="H202" s="11">
        <v>0.12</v>
      </c>
      <c r="I202" s="8">
        <f t="shared" si="10"/>
        <v>22.574999999999999</v>
      </c>
      <c r="J202" s="10">
        <v>1.1499999999999999</v>
      </c>
      <c r="K202" s="9">
        <f t="shared" si="11"/>
        <v>25.961249999999996</v>
      </c>
      <c r="L202" s="11">
        <v>0.1</v>
      </c>
      <c r="M202" s="15">
        <f t="shared" si="9"/>
        <v>28.557374999999997</v>
      </c>
    </row>
    <row r="203" spans="1:13" ht="30" x14ac:dyDescent="0.25">
      <c r="A203" s="5" t="s">
        <v>406</v>
      </c>
      <c r="B203" s="6" t="s">
        <v>407</v>
      </c>
      <c r="C203" s="6" t="str">
        <f>VLOOKUP(A203,'[1]PRECIOS NUEVOS'!$A:$C,3,0)</f>
        <v>plasticos de triangulo de salva servo</v>
      </c>
      <c r="D203" s="5">
        <v>4</v>
      </c>
      <c r="E203" s="5">
        <v>4</v>
      </c>
      <c r="F203" s="5">
        <v>7.5</v>
      </c>
      <c r="G203" s="11">
        <v>0.17</v>
      </c>
      <c r="H203" s="11">
        <v>0.12</v>
      </c>
      <c r="I203" s="8">
        <f t="shared" si="10"/>
        <v>5.16</v>
      </c>
      <c r="J203" s="10">
        <v>1.1499999999999999</v>
      </c>
      <c r="K203" s="9">
        <f t="shared" si="11"/>
        <v>5.9339999999999993</v>
      </c>
      <c r="L203" s="11">
        <v>0.1</v>
      </c>
      <c r="M203" s="15">
        <f t="shared" si="9"/>
        <v>6.5274000000000001</v>
      </c>
    </row>
    <row r="204" spans="1:13" x14ac:dyDescent="0.25">
      <c r="A204" s="5" t="s">
        <v>408</v>
      </c>
      <c r="B204" s="6" t="s">
        <v>409</v>
      </c>
      <c r="C204" s="6" t="str">
        <f>VLOOKUP(A204,'[1]PRECIOS NUEVOS'!$A:$C,3,0)</f>
        <v>radio train tren delantero nuevo</v>
      </c>
      <c r="D204" s="5">
        <v>1</v>
      </c>
      <c r="E204" s="5">
        <v>35</v>
      </c>
      <c r="F204" s="5">
        <v>60.9</v>
      </c>
      <c r="G204" s="11">
        <v>0.17</v>
      </c>
      <c r="H204" s="11">
        <v>0.12</v>
      </c>
      <c r="I204" s="8">
        <f t="shared" si="10"/>
        <v>45.15</v>
      </c>
      <c r="J204" s="10">
        <v>1.1499999999999999</v>
      </c>
      <c r="K204" s="9">
        <f t="shared" si="11"/>
        <v>51.922499999999992</v>
      </c>
      <c r="L204" s="11">
        <v>0.1</v>
      </c>
      <c r="M204" s="15">
        <f t="shared" si="9"/>
        <v>57.114749999999994</v>
      </c>
    </row>
    <row r="205" spans="1:13" x14ac:dyDescent="0.25">
      <c r="A205" s="5" t="s">
        <v>410</v>
      </c>
      <c r="B205" s="6" t="s">
        <v>411</v>
      </c>
      <c r="C205" s="6" t="str">
        <f>VLOOKUP(A205,'[1]PRECIOS NUEVOS'!$A:$C,3,0)</f>
        <v>eje de salvaservo nuevo</v>
      </c>
      <c r="D205" s="5">
        <v>1</v>
      </c>
      <c r="E205" s="5">
        <v>6</v>
      </c>
      <c r="F205" s="5">
        <v>11</v>
      </c>
      <c r="G205" s="11">
        <v>0.17</v>
      </c>
      <c r="H205" s="11">
        <v>0.12</v>
      </c>
      <c r="I205" s="8">
        <f t="shared" si="10"/>
        <v>7.74</v>
      </c>
      <c r="J205" s="10">
        <v>1.1499999999999999</v>
      </c>
      <c r="K205" s="9">
        <f t="shared" si="11"/>
        <v>8.9009999999999998</v>
      </c>
      <c r="L205" s="11">
        <v>0.1</v>
      </c>
      <c r="M205" s="15">
        <f t="shared" si="9"/>
        <v>9.7911000000000001</v>
      </c>
    </row>
    <row r="206" spans="1:13" x14ac:dyDescent="0.25">
      <c r="A206" s="5" t="s">
        <v>412</v>
      </c>
      <c r="B206" s="6" t="s">
        <v>413</v>
      </c>
      <c r="C206" s="6" t="str">
        <f>VLOOKUP(A206,'[1]PRECIOS NUEVOS'!$A:$C,3,0)</f>
        <v>parte de salvaservo nuevo</v>
      </c>
      <c r="D206" s="5">
        <v>1</v>
      </c>
      <c r="E206" s="5">
        <v>6</v>
      </c>
      <c r="F206" s="5">
        <v>11</v>
      </c>
      <c r="G206" s="11">
        <v>0.17</v>
      </c>
      <c r="H206" s="11">
        <v>0.12</v>
      </c>
      <c r="I206" s="8">
        <f t="shared" si="10"/>
        <v>7.74</v>
      </c>
      <c r="J206" s="10">
        <v>1.1499999999999999</v>
      </c>
      <c r="K206" s="9">
        <f t="shared" si="11"/>
        <v>8.9009999999999998</v>
      </c>
      <c r="L206" s="11">
        <v>0.1</v>
      </c>
      <c r="M206" s="15">
        <f t="shared" si="9"/>
        <v>9.7911000000000001</v>
      </c>
    </row>
    <row r="207" spans="1:13" x14ac:dyDescent="0.25">
      <c r="A207" s="5" t="s">
        <v>414</v>
      </c>
      <c r="B207" s="6" t="s">
        <v>415</v>
      </c>
      <c r="C207" s="6" t="str">
        <f>VLOOKUP(A207,'[1]PRECIOS NUEVOS'!$A:$C,3,0)</f>
        <v>tuerca de ajuste salva servo</v>
      </c>
      <c r="D207" s="5">
        <v>1</v>
      </c>
      <c r="E207" s="5">
        <v>6.6</v>
      </c>
      <c r="F207" s="5">
        <v>12</v>
      </c>
      <c r="G207" s="11">
        <v>0.17</v>
      </c>
      <c r="H207" s="11">
        <v>0.12</v>
      </c>
      <c r="I207" s="8">
        <f t="shared" si="10"/>
        <v>8.5139999999999993</v>
      </c>
      <c r="J207" s="10">
        <v>1.1499999999999999</v>
      </c>
      <c r="K207" s="9">
        <f t="shared" si="11"/>
        <v>9.7910999999999984</v>
      </c>
      <c r="L207" s="11">
        <v>0.1</v>
      </c>
      <c r="M207" s="15">
        <f t="shared" si="9"/>
        <v>10.770209999999999</v>
      </c>
    </row>
    <row r="208" spans="1:13" x14ac:dyDescent="0.25">
      <c r="A208" s="5" t="s">
        <v>416</v>
      </c>
      <c r="B208" s="6" t="s">
        <v>417</v>
      </c>
      <c r="C208" s="6" t="str">
        <f>VLOOKUP(A208,'[1]PRECIOS NUEVOS'!$A:$C,3,0)</f>
        <v>oring salva servo</v>
      </c>
      <c r="D208" s="5">
        <v>4</v>
      </c>
      <c r="E208" s="5">
        <v>3</v>
      </c>
      <c r="F208" s="5">
        <v>5.5</v>
      </c>
      <c r="G208" s="11">
        <v>0.17</v>
      </c>
      <c r="H208" s="11">
        <v>0.12</v>
      </c>
      <c r="I208" s="8">
        <f t="shared" si="10"/>
        <v>3.87</v>
      </c>
      <c r="J208" s="10">
        <v>1.1499999999999999</v>
      </c>
      <c r="K208" s="9">
        <f t="shared" si="11"/>
        <v>4.4504999999999999</v>
      </c>
      <c r="L208" s="11">
        <v>0.1</v>
      </c>
      <c r="M208" s="15">
        <f t="shared" si="9"/>
        <v>4.8955500000000001</v>
      </c>
    </row>
    <row r="209" spans="1:13" x14ac:dyDescent="0.25">
      <c r="A209" s="5" t="s">
        <v>418</v>
      </c>
      <c r="B209" s="6" t="s">
        <v>419</v>
      </c>
      <c r="C209" s="6" t="str">
        <f>VLOOKUP(A209,'[1]PRECIOS NUEVOS'!$A:$C,3,0)</f>
        <v>resorte salvaservo</v>
      </c>
      <c r="D209" s="5">
        <v>1</v>
      </c>
      <c r="E209" s="5">
        <v>4.3</v>
      </c>
      <c r="F209" s="5">
        <v>7.9</v>
      </c>
      <c r="G209" s="11">
        <v>0.17</v>
      </c>
      <c r="H209" s="11">
        <v>0.12</v>
      </c>
      <c r="I209" s="8">
        <f t="shared" si="10"/>
        <v>5.5469999999999997</v>
      </c>
      <c r="J209" s="10">
        <v>1.1499999999999999</v>
      </c>
      <c r="K209" s="9">
        <f t="shared" si="11"/>
        <v>6.3790499999999994</v>
      </c>
      <c r="L209" s="11">
        <v>0.1</v>
      </c>
      <c r="M209" s="15">
        <f t="shared" si="9"/>
        <v>7.0169550000000003</v>
      </c>
    </row>
    <row r="210" spans="1:13" x14ac:dyDescent="0.25">
      <c r="A210" s="5" t="s">
        <v>420</v>
      </c>
      <c r="B210" s="6" t="s">
        <v>421</v>
      </c>
      <c r="C210" s="6" t="str">
        <f>VLOOKUP(A210,'[1]PRECIOS NUEVOS'!$A:$C,3,0)</f>
        <v>cuerpo inferior salvaservo</v>
      </c>
      <c r="D210" s="5">
        <v>1</v>
      </c>
      <c r="E210" s="5">
        <v>26.5</v>
      </c>
      <c r="F210" s="5">
        <v>46.1</v>
      </c>
      <c r="G210" s="11">
        <v>0.17</v>
      </c>
      <c r="H210" s="11">
        <v>0.12</v>
      </c>
      <c r="I210" s="8">
        <f t="shared" si="10"/>
        <v>34.185000000000002</v>
      </c>
      <c r="J210" s="10">
        <v>1.1499999999999999</v>
      </c>
      <c r="K210" s="9">
        <f t="shared" si="11"/>
        <v>39.312750000000001</v>
      </c>
      <c r="L210" s="11">
        <v>0.1</v>
      </c>
      <c r="M210" s="15">
        <f t="shared" si="9"/>
        <v>43.244025000000008</v>
      </c>
    </row>
    <row r="211" spans="1:13" x14ac:dyDescent="0.25">
      <c r="A211" s="5" t="s">
        <v>422</v>
      </c>
      <c r="B211" s="6" t="s">
        <v>423</v>
      </c>
      <c r="C211" s="6" t="str">
        <f>VLOOKUP(A211,'[1]PRECIOS NUEVOS'!$A:$C,3,0)</f>
        <v>pieza salvaservo ackkerman</v>
      </c>
      <c r="D211" s="5">
        <v>1</v>
      </c>
      <c r="E211" s="5">
        <v>22</v>
      </c>
      <c r="F211" s="5">
        <v>38.4</v>
      </c>
      <c r="G211" s="11">
        <v>0.17</v>
      </c>
      <c r="H211" s="11">
        <v>0.12</v>
      </c>
      <c r="I211" s="8">
        <f t="shared" si="10"/>
        <v>28.380000000000003</v>
      </c>
      <c r="J211" s="10">
        <v>1.1499999999999999</v>
      </c>
      <c r="K211" s="9">
        <f t="shared" si="11"/>
        <v>32.637</v>
      </c>
      <c r="L211" s="11">
        <v>0.1</v>
      </c>
      <c r="M211" s="15">
        <f t="shared" si="9"/>
        <v>35.900700000000001</v>
      </c>
    </row>
    <row r="212" spans="1:13" x14ac:dyDescent="0.25">
      <c r="A212" s="5" t="s">
        <v>424</v>
      </c>
      <c r="B212" s="6" t="s">
        <v>425</v>
      </c>
      <c r="C212" s="6" t="str">
        <f>VLOOKUP(A212,'[1]PRECIOS NUEVOS'!$A:$C,3,0)</f>
        <v>pieza salvaservo ackkerman</v>
      </c>
      <c r="D212" s="5">
        <v>1</v>
      </c>
      <c r="E212" s="5">
        <v>22</v>
      </c>
      <c r="F212" s="5">
        <v>38.4</v>
      </c>
      <c r="G212" s="11">
        <v>0.17</v>
      </c>
      <c r="H212" s="11">
        <v>0.12</v>
      </c>
      <c r="I212" s="8">
        <f t="shared" si="10"/>
        <v>28.380000000000003</v>
      </c>
      <c r="J212" s="10">
        <v>1.1499999999999999</v>
      </c>
      <c r="K212" s="9">
        <f t="shared" si="11"/>
        <v>32.637</v>
      </c>
      <c r="L212" s="11">
        <v>0.1</v>
      </c>
      <c r="M212" s="15">
        <f t="shared" si="9"/>
        <v>35.900700000000001</v>
      </c>
    </row>
    <row r="213" spans="1:13" x14ac:dyDescent="0.25">
      <c r="A213" s="5" t="s">
        <v>426</v>
      </c>
      <c r="B213" s="6" t="s">
        <v>427</v>
      </c>
      <c r="C213" s="6" t="str">
        <f>VLOOKUP(A213,'[1]PRECIOS NUEVOS'!$A:$C,3,0)</f>
        <v>cuerpo superior salvaservo</v>
      </c>
      <c r="D213" s="5">
        <v>1</v>
      </c>
      <c r="E213" s="5">
        <v>20</v>
      </c>
      <c r="F213" s="5">
        <v>34.799999999999997</v>
      </c>
      <c r="G213" s="11">
        <v>0.17</v>
      </c>
      <c r="H213" s="11">
        <v>0.12</v>
      </c>
      <c r="I213" s="8">
        <f t="shared" si="10"/>
        <v>25.8</v>
      </c>
      <c r="J213" s="10">
        <v>1.1499999999999999</v>
      </c>
      <c r="K213" s="9">
        <f t="shared" si="11"/>
        <v>29.669999999999998</v>
      </c>
      <c r="L213" s="11">
        <v>0.1</v>
      </c>
      <c r="M213" s="15">
        <f t="shared" si="9"/>
        <v>32.637</v>
      </c>
    </row>
    <row r="214" spans="1:13" x14ac:dyDescent="0.25">
      <c r="A214" s="5" t="s">
        <v>428</v>
      </c>
      <c r="B214" s="6" t="s">
        <v>429</v>
      </c>
      <c r="C214" s="6" t="str">
        <f>VLOOKUP(A214,'[1]PRECIOS NUEVOS'!$A:$C,3,0)</f>
        <v>kit de barra delantera nueva</v>
      </c>
      <c r="D214" s="5">
        <v>1</v>
      </c>
      <c r="E214" s="5">
        <v>100</v>
      </c>
      <c r="F214" s="5">
        <v>174</v>
      </c>
      <c r="G214" s="11">
        <v>0.17</v>
      </c>
      <c r="H214" s="11">
        <v>0.12</v>
      </c>
      <c r="I214" s="8">
        <f t="shared" si="10"/>
        <v>129</v>
      </c>
      <c r="J214" s="10">
        <v>1.1499999999999999</v>
      </c>
      <c r="K214" s="9">
        <f t="shared" si="11"/>
        <v>148.35</v>
      </c>
      <c r="L214" s="11">
        <v>0.1</v>
      </c>
      <c r="M214" s="15">
        <f t="shared" si="9"/>
        <v>163.185</v>
      </c>
    </row>
    <row r="215" spans="1:13" ht="30" x14ac:dyDescent="0.25">
      <c r="A215" s="5" t="s">
        <v>430</v>
      </c>
      <c r="B215" s="6" t="s">
        <v>431</v>
      </c>
      <c r="C215" s="6" t="str">
        <f>VLOOKUP(A215,'[1]PRECIOS NUEVOS'!$A:$C,3,0)</f>
        <v>barra central delantera de la barra</v>
      </c>
      <c r="D215" s="5">
        <v>1</v>
      </c>
      <c r="E215" s="5">
        <v>15.5</v>
      </c>
      <c r="F215" s="5">
        <v>27</v>
      </c>
      <c r="G215" s="11">
        <v>0.17</v>
      </c>
      <c r="H215" s="11">
        <v>0.12</v>
      </c>
      <c r="I215" s="8">
        <f t="shared" si="10"/>
        <v>19.995000000000001</v>
      </c>
      <c r="J215" s="10">
        <v>1.1499999999999999</v>
      </c>
      <c r="K215" s="9">
        <f t="shared" si="11"/>
        <v>22.994250000000001</v>
      </c>
      <c r="L215" s="11">
        <v>0.1</v>
      </c>
      <c r="M215" s="15">
        <f t="shared" si="9"/>
        <v>25.293675000000004</v>
      </c>
    </row>
    <row r="216" spans="1:13" ht="30" x14ac:dyDescent="0.25">
      <c r="A216" s="5" t="s">
        <v>432</v>
      </c>
      <c r="B216" s="6" t="s">
        <v>433</v>
      </c>
      <c r="C216" s="6" t="str">
        <f>VLOOKUP(A216,'[1]PRECIOS NUEVOS'!$A:$C,3,0)</f>
        <v>cuerpo de aluminio donde monta barra izquierda</v>
      </c>
      <c r="D216" s="5">
        <v>1</v>
      </c>
      <c r="E216" s="5">
        <v>19</v>
      </c>
      <c r="F216" s="5">
        <v>33</v>
      </c>
      <c r="G216" s="11">
        <v>0.17</v>
      </c>
      <c r="H216" s="11">
        <v>0.12</v>
      </c>
      <c r="I216" s="8">
        <f t="shared" si="10"/>
        <v>24.51</v>
      </c>
      <c r="J216" s="10">
        <v>1.1499999999999999</v>
      </c>
      <c r="K216" s="9">
        <f t="shared" si="11"/>
        <v>28.186499999999999</v>
      </c>
      <c r="L216" s="11">
        <v>0.1</v>
      </c>
      <c r="M216" s="15">
        <f t="shared" si="9"/>
        <v>31.00515</v>
      </c>
    </row>
    <row r="217" spans="1:13" ht="30" x14ac:dyDescent="0.25">
      <c r="A217" s="5" t="s">
        <v>434</v>
      </c>
      <c r="B217" s="6" t="s">
        <v>435</v>
      </c>
      <c r="C217" s="6" t="str">
        <f>VLOOKUP(A217,'[1]PRECIOS NUEVOS'!$A:$C,3,0)</f>
        <v>cuerpo de aluminio donde monta barra derecha</v>
      </c>
      <c r="D217" s="5">
        <v>1</v>
      </c>
      <c r="E217" s="5">
        <v>19</v>
      </c>
      <c r="F217" s="5">
        <v>33</v>
      </c>
      <c r="G217" s="11">
        <v>0.17</v>
      </c>
      <c r="H217" s="11">
        <v>0.12</v>
      </c>
      <c r="I217" s="8">
        <f t="shared" si="10"/>
        <v>24.51</v>
      </c>
      <c r="J217" s="10">
        <v>1.1499999999999999</v>
      </c>
      <c r="K217" s="9">
        <f t="shared" si="11"/>
        <v>28.186499999999999</v>
      </c>
      <c r="L217" s="11">
        <v>0.1</v>
      </c>
      <c r="M217" s="15">
        <f t="shared" si="9"/>
        <v>31.00515</v>
      </c>
    </row>
    <row r="218" spans="1:13" x14ac:dyDescent="0.25">
      <c r="A218" s="5" t="s">
        <v>436</v>
      </c>
      <c r="B218" s="6" t="s">
        <v>437</v>
      </c>
      <c r="C218" s="6" t="str">
        <f>VLOOKUP(A218,'[1]PRECIOS NUEVOS'!$A:$C,3,0)</f>
        <v>barra 2.75</v>
      </c>
      <c r="D218" s="5">
        <v>2</v>
      </c>
      <c r="E218" s="5">
        <v>38.5</v>
      </c>
      <c r="F218" s="5">
        <v>67</v>
      </c>
      <c r="G218" s="11">
        <v>0.17</v>
      </c>
      <c r="H218" s="11">
        <v>0.12</v>
      </c>
      <c r="I218" s="8">
        <f t="shared" si="10"/>
        <v>49.664999999999999</v>
      </c>
      <c r="J218" s="10">
        <v>1.1499999999999999</v>
      </c>
      <c r="K218" s="9">
        <f t="shared" si="11"/>
        <v>57.114749999999994</v>
      </c>
      <c r="L218" s="11">
        <v>0.1</v>
      </c>
      <c r="M218" s="15">
        <f t="shared" si="9"/>
        <v>62.826225000000001</v>
      </c>
    </row>
    <row r="219" spans="1:13" x14ac:dyDescent="0.25">
      <c r="A219" s="5" t="s">
        <v>438</v>
      </c>
      <c r="B219" s="6" t="s">
        <v>439</v>
      </c>
      <c r="C219" s="6" t="str">
        <f>VLOOKUP(A219,'[1]PRECIOS NUEVOS'!$A:$C,3,0)</f>
        <v>barra 2.5</v>
      </c>
      <c r="D219" s="5">
        <v>2</v>
      </c>
      <c r="E219" s="5">
        <v>38.5</v>
      </c>
      <c r="F219" s="5">
        <v>67</v>
      </c>
      <c r="G219" s="11">
        <v>0.17</v>
      </c>
      <c r="H219" s="11">
        <v>0.12</v>
      </c>
      <c r="I219" s="8">
        <f t="shared" si="10"/>
        <v>49.664999999999999</v>
      </c>
      <c r="J219" s="10">
        <v>1.1499999999999999</v>
      </c>
      <c r="K219" s="9">
        <f t="shared" si="11"/>
        <v>57.114749999999994</v>
      </c>
      <c r="L219" s="11">
        <v>0.1</v>
      </c>
      <c r="M219" s="15">
        <f t="shared" si="9"/>
        <v>62.826225000000001</v>
      </c>
    </row>
    <row r="220" spans="1:13" x14ac:dyDescent="0.25">
      <c r="A220" s="5" t="s">
        <v>440</v>
      </c>
      <c r="B220" s="6" t="s">
        <v>441</v>
      </c>
      <c r="C220" s="6" t="str">
        <f>VLOOKUP(A220,'[1]PRECIOS NUEVOS'!$A:$C,3,0)</f>
        <v>barra 2</v>
      </c>
      <c r="D220" s="5">
        <v>2</v>
      </c>
      <c r="E220" s="5">
        <v>38.5</v>
      </c>
      <c r="F220" s="5">
        <v>67</v>
      </c>
      <c r="G220" s="11">
        <v>0.17</v>
      </c>
      <c r="H220" s="11">
        <v>0.12</v>
      </c>
      <c r="I220" s="8">
        <f t="shared" si="10"/>
        <v>49.664999999999999</v>
      </c>
      <c r="J220" s="10">
        <v>1.1499999999999999</v>
      </c>
      <c r="K220" s="9">
        <f t="shared" si="11"/>
        <v>57.114749999999994</v>
      </c>
      <c r="L220" s="11">
        <v>0.1</v>
      </c>
      <c r="M220" s="15">
        <f t="shared" si="9"/>
        <v>62.826225000000001</v>
      </c>
    </row>
    <row r="221" spans="1:13" x14ac:dyDescent="0.25">
      <c r="A221" s="5" t="s">
        <v>442</v>
      </c>
      <c r="B221" s="6" t="s">
        <v>443</v>
      </c>
      <c r="C221" s="6" t="str">
        <f>VLOOKUP(A221,'[1]PRECIOS NUEVOS'!$A:$C,3,0)</f>
        <v>barra 1.75</v>
      </c>
      <c r="D221" s="5">
        <v>2</v>
      </c>
      <c r="E221" s="5">
        <v>38.5</v>
      </c>
      <c r="F221" s="5">
        <v>67</v>
      </c>
      <c r="G221" s="11">
        <v>0.17</v>
      </c>
      <c r="H221" s="11">
        <v>0.12</v>
      </c>
      <c r="I221" s="8">
        <f t="shared" si="10"/>
        <v>49.664999999999999</v>
      </c>
      <c r="J221" s="10">
        <v>1.1499999999999999</v>
      </c>
      <c r="K221" s="9">
        <f t="shared" si="11"/>
        <v>57.114749999999994</v>
      </c>
      <c r="L221" s="11">
        <v>0.1</v>
      </c>
      <c r="M221" s="15">
        <f t="shared" si="9"/>
        <v>62.826225000000001</v>
      </c>
    </row>
    <row r="222" spans="1:13" x14ac:dyDescent="0.25">
      <c r="A222" s="5" t="s">
        <v>444</v>
      </c>
      <c r="B222" s="6" t="s">
        <v>445</v>
      </c>
      <c r="C222" s="6" t="str">
        <f>VLOOKUP(A222,'[1]PRECIOS NUEVOS'!$A:$C,3,0)</f>
        <v xml:space="preserve">barra 2.25 </v>
      </c>
      <c r="D222" s="5">
        <v>2</v>
      </c>
      <c r="E222" s="5">
        <v>38.5</v>
      </c>
      <c r="F222" s="5">
        <v>67</v>
      </c>
      <c r="G222" s="11">
        <v>0.17</v>
      </c>
      <c r="H222" s="11">
        <v>0.12</v>
      </c>
      <c r="I222" s="8">
        <f t="shared" si="10"/>
        <v>49.664999999999999</v>
      </c>
      <c r="J222" s="10">
        <v>1.1499999999999999</v>
      </c>
      <c r="K222" s="9">
        <f t="shared" si="11"/>
        <v>57.114749999999994</v>
      </c>
      <c r="L222" s="11">
        <v>0.1</v>
      </c>
      <c r="M222" s="15">
        <f t="shared" si="9"/>
        <v>62.826225000000001</v>
      </c>
    </row>
    <row r="223" spans="1:13" x14ac:dyDescent="0.25">
      <c r="A223" s="5" t="s">
        <v>446</v>
      </c>
      <c r="B223" s="6" t="s">
        <v>447</v>
      </c>
      <c r="C223" s="6" t="str">
        <f>VLOOKUP(A223,'[1]PRECIOS NUEVOS'!$A:$C,3,0)</f>
        <v>barra 1.5</v>
      </c>
      <c r="D223" s="5">
        <v>2</v>
      </c>
      <c r="E223" s="5">
        <v>38.5</v>
      </c>
      <c r="F223" s="5">
        <v>67</v>
      </c>
      <c r="G223" s="11">
        <v>0.17</v>
      </c>
      <c r="H223" s="11">
        <v>0.12</v>
      </c>
      <c r="I223" s="8">
        <f t="shared" si="10"/>
        <v>49.664999999999999</v>
      </c>
      <c r="J223" s="10">
        <v>1.1499999999999999</v>
      </c>
      <c r="K223" s="9">
        <f t="shared" si="11"/>
        <v>57.114749999999994</v>
      </c>
      <c r="L223" s="11">
        <v>0.1</v>
      </c>
      <c r="M223" s="15">
        <f t="shared" si="9"/>
        <v>62.826225000000001</v>
      </c>
    </row>
    <row r="224" spans="1:13" x14ac:dyDescent="0.25">
      <c r="A224" s="5" t="s">
        <v>448</v>
      </c>
      <c r="B224" s="6" t="s">
        <v>449</v>
      </c>
      <c r="C224" s="6" t="e">
        <f>VLOOKUP(A224,'[1]PRECIOS NUEVOS'!$A:$C,3,0)</f>
        <v>#N/A</v>
      </c>
      <c r="D224" s="5">
        <v>1</v>
      </c>
      <c r="E224" s="5">
        <v>15.5</v>
      </c>
      <c r="F224" s="5">
        <v>27</v>
      </c>
      <c r="G224" s="11">
        <v>0.17</v>
      </c>
      <c r="H224" s="11">
        <v>0.12</v>
      </c>
      <c r="I224" s="8">
        <f t="shared" si="10"/>
        <v>19.995000000000001</v>
      </c>
      <c r="J224" s="10">
        <v>1.1499999999999999</v>
      </c>
      <c r="K224" s="9">
        <f t="shared" si="11"/>
        <v>22.994250000000001</v>
      </c>
      <c r="L224" s="11">
        <v>0.1</v>
      </c>
      <c r="M224" s="15">
        <f t="shared" si="9"/>
        <v>25.293675000000004</v>
      </c>
    </row>
    <row r="225" spans="1:13" x14ac:dyDescent="0.25">
      <c r="A225" s="5" t="s">
        <v>450</v>
      </c>
      <c r="B225" s="6" t="s">
        <v>451</v>
      </c>
      <c r="C225" s="6" t="e">
        <f>VLOOKUP(A225,'[1]PRECIOS NUEVOS'!$A:$C,3,0)</f>
        <v>#N/A</v>
      </c>
      <c r="D225" s="5">
        <v>2</v>
      </c>
      <c r="E225" s="5">
        <v>38.5</v>
      </c>
      <c r="F225" s="5">
        <v>67</v>
      </c>
      <c r="G225" s="11">
        <v>0.17</v>
      </c>
      <c r="H225" s="11">
        <v>0.12</v>
      </c>
      <c r="I225" s="8">
        <f t="shared" si="10"/>
        <v>49.664999999999999</v>
      </c>
      <c r="J225" s="10">
        <v>1.1499999999999999</v>
      </c>
      <c r="K225" s="9">
        <f t="shared" si="11"/>
        <v>57.114749999999994</v>
      </c>
      <c r="L225" s="11">
        <v>0.1</v>
      </c>
      <c r="M225" s="15">
        <f t="shared" si="9"/>
        <v>62.826225000000001</v>
      </c>
    </row>
    <row r="226" spans="1:13" x14ac:dyDescent="0.25">
      <c r="A226" s="5" t="s">
        <v>570</v>
      </c>
      <c r="C226" s="6" t="e">
        <f>VLOOKUP(A226,'[1]PRECIOS NUEVOS'!$A:$C,3,0)</f>
        <v>#N/A</v>
      </c>
      <c r="G226" s="11">
        <v>0.17</v>
      </c>
      <c r="H226" s="11">
        <v>0.12</v>
      </c>
      <c r="I226" s="8">
        <f t="shared" si="10"/>
        <v>0</v>
      </c>
      <c r="J226" s="10">
        <v>1.1499999999999999</v>
      </c>
      <c r="K226" s="9">
        <f t="shared" si="11"/>
        <v>0</v>
      </c>
      <c r="L226" s="11">
        <v>0.1</v>
      </c>
      <c r="M226" s="15">
        <f t="shared" si="9"/>
        <v>0</v>
      </c>
    </row>
    <row r="227" spans="1:13" x14ac:dyDescent="0.25">
      <c r="A227" s="5" t="s">
        <v>452</v>
      </c>
      <c r="B227" s="6" t="s">
        <v>453</v>
      </c>
      <c r="C227" s="6" t="str">
        <f>VLOOKUP(A227,'[1]PRECIOS NUEVOS'!$A:$C,3,0)</f>
        <v>traba salvaservo alinear</v>
      </c>
      <c r="D227" s="5">
        <v>1</v>
      </c>
      <c r="E227" s="5">
        <v>19</v>
      </c>
      <c r="F227" s="5">
        <v>33</v>
      </c>
      <c r="G227" s="11">
        <v>0.17</v>
      </c>
      <c r="H227" s="11">
        <v>0.12</v>
      </c>
      <c r="I227" s="8">
        <f t="shared" si="10"/>
        <v>24.51</v>
      </c>
      <c r="J227" s="10">
        <v>1.1499999999999999</v>
      </c>
      <c r="K227" s="9">
        <f t="shared" si="11"/>
        <v>28.186499999999999</v>
      </c>
      <c r="L227" s="11">
        <v>0.1</v>
      </c>
      <c r="M227" s="15">
        <f t="shared" si="9"/>
        <v>31.00515</v>
      </c>
    </row>
    <row r="228" spans="1:13" ht="30" x14ac:dyDescent="0.25">
      <c r="A228" s="5" t="s">
        <v>454</v>
      </c>
      <c r="B228" s="6" t="s">
        <v>455</v>
      </c>
      <c r="C228" s="6" t="str">
        <f>VLOOKUP(A228,'[1]PRECIOS NUEVOS'!$A:$C,3,0)</f>
        <v>kit de posicion de amoriguador trasero de 3 agujeros</v>
      </c>
      <c r="D228" s="5">
        <v>1</v>
      </c>
      <c r="E228" s="5">
        <v>35</v>
      </c>
      <c r="F228" s="5">
        <v>60.9</v>
      </c>
      <c r="G228" s="11">
        <v>0.17</v>
      </c>
      <c r="H228" s="11">
        <v>0.12</v>
      </c>
      <c r="I228" s="8">
        <f t="shared" si="10"/>
        <v>45.15</v>
      </c>
      <c r="J228" s="10">
        <v>1.1499999999999999</v>
      </c>
      <c r="K228" s="9">
        <f t="shared" si="11"/>
        <v>51.922499999999992</v>
      </c>
      <c r="L228" s="11">
        <v>0.1</v>
      </c>
      <c r="M228" s="15">
        <f t="shared" si="9"/>
        <v>57.114749999999994</v>
      </c>
    </row>
    <row r="229" spans="1:13" ht="45" x14ac:dyDescent="0.25">
      <c r="A229" s="5" t="s">
        <v>456</v>
      </c>
      <c r="B229" s="6" t="s">
        <v>457</v>
      </c>
      <c r="C229" s="6" t="str">
        <f>VLOOKUP(A229,'[1]PRECIOS NUEVOS'!$A:$C,3,0)</f>
        <v>pieza de 3 agujeros de amortiguador trasero SOLA . sin kit</v>
      </c>
      <c r="D229" s="5">
        <v>1</v>
      </c>
      <c r="E229" s="5">
        <v>14</v>
      </c>
      <c r="F229" s="5">
        <v>24.35</v>
      </c>
      <c r="G229" s="11">
        <v>0.17</v>
      </c>
      <c r="H229" s="11">
        <v>0.12</v>
      </c>
      <c r="I229" s="8">
        <f t="shared" si="10"/>
        <v>18.060000000000002</v>
      </c>
      <c r="J229" s="10">
        <v>1.1499999999999999</v>
      </c>
      <c r="K229" s="9">
        <f t="shared" si="11"/>
        <v>20.769000000000002</v>
      </c>
      <c r="L229" s="11">
        <v>0.1</v>
      </c>
      <c r="M229" s="15">
        <f t="shared" si="9"/>
        <v>22.845900000000004</v>
      </c>
    </row>
    <row r="230" spans="1:13" ht="30" x14ac:dyDescent="0.25">
      <c r="A230" s="5" t="s">
        <v>458</v>
      </c>
      <c r="B230" s="6" t="s">
        <v>459</v>
      </c>
      <c r="C230" s="6" t="str">
        <f>VLOOKUP(A230,'[1]PRECIOS NUEVOS'!$A:$C,3,0)</f>
        <v>kit de agarre de motor delantero . con lateral incluido</v>
      </c>
      <c r="D230" s="5">
        <v>1</v>
      </c>
      <c r="E230" s="5">
        <v>61.5</v>
      </c>
      <c r="F230" s="5">
        <v>107</v>
      </c>
      <c r="G230" s="11">
        <v>0.17</v>
      </c>
      <c r="H230" s="11">
        <v>0.12</v>
      </c>
      <c r="I230" s="8">
        <f t="shared" si="10"/>
        <v>79.335000000000008</v>
      </c>
      <c r="J230" s="10">
        <v>1.1499999999999999</v>
      </c>
      <c r="K230" s="9">
        <f t="shared" si="11"/>
        <v>91.235250000000008</v>
      </c>
      <c r="L230" s="11">
        <v>0.1</v>
      </c>
      <c r="M230" s="15">
        <f t="shared" si="9"/>
        <v>100.35877500000002</v>
      </c>
    </row>
    <row r="231" spans="1:13" ht="30" x14ac:dyDescent="0.25">
      <c r="A231" s="5" t="s">
        <v>460</v>
      </c>
      <c r="B231" s="6" t="s">
        <v>461</v>
      </c>
      <c r="C231" s="6" t="str">
        <f>VLOOKUP(A231,'[1]PRECIOS NUEVOS'!$A:$C,3,0)</f>
        <v>agarre de motor delantero sin lateral</v>
      </c>
      <c r="D231" s="5">
        <v>1</v>
      </c>
      <c r="E231" s="5">
        <v>33</v>
      </c>
      <c r="F231" s="5">
        <v>57.4</v>
      </c>
      <c r="G231" s="11">
        <v>0.17</v>
      </c>
      <c r="H231" s="11">
        <v>0.12</v>
      </c>
      <c r="I231" s="8">
        <f t="shared" si="10"/>
        <v>42.57</v>
      </c>
      <c r="J231" s="10">
        <v>1.1499999999999999</v>
      </c>
      <c r="K231" s="9">
        <f t="shared" si="11"/>
        <v>48.955499999999994</v>
      </c>
      <c r="L231" s="11">
        <v>0.1</v>
      </c>
      <c r="M231" s="15">
        <f t="shared" si="9"/>
        <v>53.851050000000001</v>
      </c>
    </row>
    <row r="232" spans="1:13" x14ac:dyDescent="0.25">
      <c r="A232" s="5" t="s">
        <v>462</v>
      </c>
      <c r="B232" s="6" t="s">
        <v>463</v>
      </c>
      <c r="C232" s="6" t="str">
        <f>VLOOKUP(A232,'[1]PRECIOS NUEVOS'!$A:$C,3,0)</f>
        <v>radiotrain para 3 servos chicos</v>
      </c>
      <c r="D232" s="5">
        <v>1</v>
      </c>
      <c r="E232" s="5">
        <v>35</v>
      </c>
      <c r="F232" s="5">
        <v>60.9</v>
      </c>
      <c r="G232" s="11">
        <v>0.17</v>
      </c>
      <c r="H232" s="11">
        <v>0.12</v>
      </c>
      <c r="I232" s="8">
        <f t="shared" si="10"/>
        <v>45.15</v>
      </c>
      <c r="J232" s="10">
        <v>1.1499999999999999</v>
      </c>
      <c r="K232" s="9">
        <f t="shared" si="11"/>
        <v>51.922499999999992</v>
      </c>
      <c r="L232" s="11">
        <v>0.1</v>
      </c>
      <c r="M232" s="15">
        <f t="shared" si="9"/>
        <v>57.114749999999994</v>
      </c>
    </row>
    <row r="233" spans="1:13" x14ac:dyDescent="0.25">
      <c r="A233" s="5" t="s">
        <v>464</v>
      </c>
      <c r="B233" s="6" t="s">
        <v>465</v>
      </c>
      <c r="C233" s="6" t="e">
        <f>VLOOKUP(A233,'[1]PRECIOS NUEVOS'!$A:$C,3,0)</f>
        <v>#N/A</v>
      </c>
      <c r="D233" s="5">
        <v>1</v>
      </c>
      <c r="E233" s="5">
        <v>10</v>
      </c>
      <c r="F233" s="5">
        <v>18</v>
      </c>
      <c r="G233" s="11">
        <v>0.17</v>
      </c>
      <c r="H233" s="11">
        <v>0.12</v>
      </c>
      <c r="I233" s="8">
        <f t="shared" si="10"/>
        <v>12.9</v>
      </c>
      <c r="J233" s="10">
        <v>1.1499999999999999</v>
      </c>
      <c r="K233" s="9">
        <f t="shared" si="11"/>
        <v>14.834999999999999</v>
      </c>
      <c r="L233" s="11">
        <v>0.1</v>
      </c>
      <c r="M233" s="15">
        <f t="shared" si="9"/>
        <v>16.3185</v>
      </c>
    </row>
    <row r="234" spans="1:13" x14ac:dyDescent="0.25">
      <c r="A234" s="5" t="s">
        <v>466</v>
      </c>
      <c r="B234" s="6" t="s">
        <v>467</v>
      </c>
      <c r="C234" s="6" t="e">
        <f>VLOOKUP(A234,'[1]PRECIOS NUEVOS'!$A:$C,3,0)</f>
        <v>#N/A</v>
      </c>
      <c r="D234" s="5">
        <v>2</v>
      </c>
      <c r="E234" s="5">
        <v>4.5</v>
      </c>
      <c r="F234" s="5">
        <v>8.3000000000000007</v>
      </c>
      <c r="G234" s="11">
        <v>0.17</v>
      </c>
      <c r="H234" s="11">
        <v>0.12</v>
      </c>
      <c r="I234" s="8">
        <f t="shared" si="10"/>
        <v>5.8049999999999997</v>
      </c>
      <c r="J234" s="10">
        <v>1.1499999999999999</v>
      </c>
      <c r="K234" s="9">
        <f t="shared" si="11"/>
        <v>6.675749999999999</v>
      </c>
      <c r="L234" s="11">
        <v>0.1</v>
      </c>
      <c r="M234" s="15">
        <f t="shared" si="9"/>
        <v>7.3433249999999992</v>
      </c>
    </row>
    <row r="235" spans="1:13" x14ac:dyDescent="0.25">
      <c r="A235" s="5" t="s">
        <v>468</v>
      </c>
      <c r="B235" s="6" t="s">
        <v>469</v>
      </c>
      <c r="C235" s="6" t="str">
        <f>VLOOKUP(A235,'[1]PRECIOS NUEVOS'!$A:$C,3,0)</f>
        <v>laterales de chasis para pernos</v>
      </c>
      <c r="D235" s="5">
        <v>1</v>
      </c>
      <c r="E235" s="5">
        <v>31</v>
      </c>
      <c r="F235" s="5">
        <v>54</v>
      </c>
      <c r="G235" s="11">
        <v>0.17</v>
      </c>
      <c r="H235" s="11">
        <v>0.12</v>
      </c>
      <c r="I235" s="8">
        <f t="shared" si="10"/>
        <v>39.99</v>
      </c>
      <c r="J235" s="10">
        <v>1.1499999999999999</v>
      </c>
      <c r="K235" s="9">
        <f t="shared" si="11"/>
        <v>45.988500000000002</v>
      </c>
      <c r="L235" s="11">
        <v>0.1</v>
      </c>
      <c r="M235" s="15">
        <f t="shared" si="9"/>
        <v>50.587350000000008</v>
      </c>
    </row>
    <row r="236" spans="1:13" x14ac:dyDescent="0.25">
      <c r="A236" s="5" t="s">
        <v>470</v>
      </c>
      <c r="B236" s="6" t="s">
        <v>471</v>
      </c>
      <c r="C236" s="6" t="str">
        <f>VLOOKUP(A236,'[1]PRECIOS NUEVOS'!$A:$C,3,0)</f>
        <v>soporte samba 8</v>
      </c>
      <c r="D236" s="5">
        <v>1</v>
      </c>
      <c r="E236" s="5">
        <v>15.5</v>
      </c>
      <c r="F236" s="5">
        <v>27</v>
      </c>
      <c r="G236" s="11">
        <v>0.17</v>
      </c>
      <c r="H236" s="11">
        <v>0.12</v>
      </c>
      <c r="I236" s="8">
        <f t="shared" si="10"/>
        <v>19.995000000000001</v>
      </c>
      <c r="J236" s="10">
        <v>1.1499999999999999</v>
      </c>
      <c r="K236" s="9">
        <f t="shared" si="11"/>
        <v>22.994250000000001</v>
      </c>
      <c r="L236" s="11">
        <v>0.1</v>
      </c>
      <c r="M236" s="15">
        <f t="shared" si="9"/>
        <v>25.293675000000004</v>
      </c>
    </row>
    <row r="237" spans="1:13" x14ac:dyDescent="0.25">
      <c r="A237" s="5" t="s">
        <v>472</v>
      </c>
      <c r="B237" s="6" t="s">
        <v>473</v>
      </c>
      <c r="C237" s="6" t="str">
        <f>VLOOKUP(A237,'[1]PRECIOS NUEVOS'!$A:$C,3,0)</f>
        <v>carbono para tachito</v>
      </c>
      <c r="D237" s="5">
        <v>1</v>
      </c>
      <c r="E237" s="5">
        <v>9</v>
      </c>
      <c r="F237" s="5">
        <v>16.5</v>
      </c>
      <c r="G237" s="11">
        <v>0.17</v>
      </c>
      <c r="H237" s="11">
        <v>0.12</v>
      </c>
      <c r="I237" s="8">
        <f t="shared" si="10"/>
        <v>11.61</v>
      </c>
      <c r="J237" s="10">
        <v>1.1499999999999999</v>
      </c>
      <c r="K237" s="9">
        <f t="shared" si="11"/>
        <v>13.351499999999998</v>
      </c>
      <c r="L237" s="11">
        <v>0.1</v>
      </c>
      <c r="M237" s="15">
        <f t="shared" si="9"/>
        <v>14.686649999999998</v>
      </c>
    </row>
    <row r="238" spans="1:13" x14ac:dyDescent="0.25">
      <c r="A238" s="5" t="s">
        <v>474</v>
      </c>
      <c r="B238" s="6" t="s">
        <v>475</v>
      </c>
      <c r="C238" s="6" t="str">
        <f>VLOOKUP(A238,'[1]PRECIOS NUEVOS'!$A:$C,3,0)</f>
        <v>masa NUEVA</v>
      </c>
      <c r="D238" s="5">
        <v>1</v>
      </c>
      <c r="E238" s="5">
        <v>33</v>
      </c>
      <c r="F238" s="5">
        <v>57.4</v>
      </c>
      <c r="G238" s="11">
        <v>0.17</v>
      </c>
      <c r="H238" s="11">
        <v>0.12</v>
      </c>
      <c r="I238" s="8">
        <f t="shared" si="10"/>
        <v>42.57</v>
      </c>
      <c r="J238" s="10">
        <v>1.1499999999999999</v>
      </c>
      <c r="K238" s="9">
        <f t="shared" si="11"/>
        <v>48.955499999999994</v>
      </c>
      <c r="L238" s="11">
        <v>0.1</v>
      </c>
      <c r="M238" s="15">
        <f t="shared" si="9"/>
        <v>53.851050000000001</v>
      </c>
    </row>
    <row r="239" spans="1:13" x14ac:dyDescent="0.25">
      <c r="A239" s="5" t="s">
        <v>476</v>
      </c>
      <c r="B239" s="6" t="s">
        <v>477</v>
      </c>
      <c r="C239" s="6" t="str">
        <f>VLOOKUP(A239,'[1]PRECIOS NUEVOS'!$A:$C,3,0)</f>
        <v>bolso de auto</v>
      </c>
      <c r="D239" s="5">
        <v>1</v>
      </c>
      <c r="E239" s="5">
        <v>80</v>
      </c>
      <c r="F239" s="5">
        <v>120</v>
      </c>
      <c r="G239" s="11">
        <v>0.17</v>
      </c>
      <c r="H239" s="11">
        <v>0.12</v>
      </c>
      <c r="I239" s="8">
        <f t="shared" si="10"/>
        <v>103.2</v>
      </c>
      <c r="J239" s="10">
        <v>1.1499999999999999</v>
      </c>
      <c r="K239" s="9">
        <f t="shared" si="11"/>
        <v>118.67999999999999</v>
      </c>
      <c r="L239" s="11">
        <v>0.1</v>
      </c>
      <c r="M239" s="15">
        <f t="shared" si="9"/>
        <v>130.548</v>
      </c>
    </row>
    <row r="240" spans="1:13" ht="30" x14ac:dyDescent="0.25">
      <c r="A240" s="5" t="s">
        <v>478</v>
      </c>
      <c r="B240" s="6" t="s">
        <v>479</v>
      </c>
      <c r="C240" s="6" t="str">
        <f>VLOOKUP(A240,'[1]PRECIOS NUEVOS'!$A:$C,3,0)</f>
        <v>palito de carroceria doblado</v>
      </c>
      <c r="D240" s="5">
        <v>1</v>
      </c>
      <c r="E240" s="5">
        <v>16</v>
      </c>
      <c r="F240" s="5">
        <v>27.8</v>
      </c>
      <c r="G240" s="11">
        <v>0.17</v>
      </c>
      <c r="H240" s="11">
        <v>0.12</v>
      </c>
      <c r="I240" s="8">
        <f t="shared" si="10"/>
        <v>20.64</v>
      </c>
      <c r="J240" s="10">
        <v>1.1499999999999999</v>
      </c>
      <c r="K240" s="9">
        <f t="shared" si="11"/>
        <v>23.735999999999997</v>
      </c>
      <c r="L240" s="11">
        <v>0.1</v>
      </c>
      <c r="M240" s="15">
        <f t="shared" si="9"/>
        <v>26.1096</v>
      </c>
    </row>
    <row r="241" spans="1:13" x14ac:dyDescent="0.25">
      <c r="A241" s="5" t="s">
        <v>480</v>
      </c>
      <c r="B241" s="6" t="s">
        <v>481</v>
      </c>
      <c r="C241" s="6" t="str">
        <f>VLOOKUP(A241,'[1]PRECIOS NUEVOS'!$A:$C,3,0)</f>
        <v xml:space="preserve">bolso </v>
      </c>
      <c r="D241" s="5">
        <v>1</v>
      </c>
      <c r="E241" s="5">
        <v>60</v>
      </c>
      <c r="F241" s="5">
        <v>90</v>
      </c>
      <c r="G241" s="11">
        <v>0.17</v>
      </c>
      <c r="H241" s="11">
        <v>0.12</v>
      </c>
      <c r="I241" s="8">
        <f t="shared" si="10"/>
        <v>77.400000000000006</v>
      </c>
      <c r="J241" s="10">
        <v>1.1499999999999999</v>
      </c>
      <c r="K241" s="9">
        <f t="shared" si="11"/>
        <v>89.01</v>
      </c>
      <c r="L241" s="11">
        <v>0.1</v>
      </c>
      <c r="M241" s="15">
        <f t="shared" si="9"/>
        <v>97.911000000000016</v>
      </c>
    </row>
    <row r="242" spans="1:13" x14ac:dyDescent="0.25">
      <c r="A242" s="5" t="s">
        <v>482</v>
      </c>
      <c r="B242" s="6" t="s">
        <v>483</v>
      </c>
      <c r="C242" s="6" t="str">
        <f>VLOOKUP(A242,'[1]PRECIOS NUEVOS'!$A:$C,3,0)</f>
        <v>covertor de autos</v>
      </c>
      <c r="D242" s="5">
        <v>1</v>
      </c>
      <c r="E242" s="5">
        <v>36</v>
      </c>
      <c r="F242" s="5">
        <v>54</v>
      </c>
      <c r="G242" s="11">
        <v>0.17</v>
      </c>
      <c r="H242" s="11">
        <v>0.12</v>
      </c>
      <c r="I242" s="8">
        <f t="shared" si="10"/>
        <v>46.44</v>
      </c>
      <c r="J242" s="10">
        <v>1.1499999999999999</v>
      </c>
      <c r="K242" s="9">
        <f t="shared" si="11"/>
        <v>53.405999999999992</v>
      </c>
      <c r="L242" s="11">
        <v>0.1</v>
      </c>
      <c r="M242" s="15">
        <f t="shared" si="9"/>
        <v>58.746599999999994</v>
      </c>
    </row>
    <row r="243" spans="1:13" x14ac:dyDescent="0.25">
      <c r="A243" s="5" t="s">
        <v>484</v>
      </c>
      <c r="B243" s="6" t="s">
        <v>485</v>
      </c>
      <c r="C243" s="6" t="str">
        <f>VLOOKUP(A243,'[1]PRECIOS NUEVOS'!$A:$C,3,0)</f>
        <v>Tensor largo izquierdo</v>
      </c>
      <c r="D243" s="5">
        <v>1</v>
      </c>
      <c r="E243" s="5">
        <v>44</v>
      </c>
      <c r="F243" s="5">
        <v>76.5</v>
      </c>
      <c r="G243" s="11">
        <v>0.17</v>
      </c>
      <c r="H243" s="11">
        <v>0.12</v>
      </c>
      <c r="I243" s="8">
        <f t="shared" si="10"/>
        <v>56.760000000000005</v>
      </c>
      <c r="J243" s="10">
        <v>1.1499999999999999</v>
      </c>
      <c r="K243" s="9">
        <f t="shared" si="11"/>
        <v>65.274000000000001</v>
      </c>
      <c r="L243" s="11">
        <v>0.1</v>
      </c>
      <c r="M243" s="15">
        <f t="shared" si="9"/>
        <v>71.801400000000001</v>
      </c>
    </row>
    <row r="244" spans="1:13" x14ac:dyDescent="0.25">
      <c r="A244" s="5" t="s">
        <v>486</v>
      </c>
      <c r="B244" s="6" t="s">
        <v>487</v>
      </c>
      <c r="C244" s="6" t="str">
        <f>VLOOKUP(A244,'[1]PRECIOS NUEVOS'!$A:$C,3,0)</f>
        <v xml:space="preserve">tanque nuevo </v>
      </c>
      <c r="D244" s="5">
        <v>1</v>
      </c>
      <c r="E244" s="5">
        <v>27.5</v>
      </c>
      <c r="F244" s="5">
        <v>47.85</v>
      </c>
      <c r="G244" s="11">
        <v>0.17</v>
      </c>
      <c r="H244" s="11">
        <v>0.12</v>
      </c>
      <c r="I244" s="8">
        <f t="shared" si="10"/>
        <v>35.475000000000001</v>
      </c>
      <c r="J244" s="10">
        <v>1.1499999999999999</v>
      </c>
      <c r="K244" s="9">
        <f t="shared" si="11"/>
        <v>40.796250000000001</v>
      </c>
      <c r="L244" s="11">
        <v>0.1</v>
      </c>
      <c r="M244" s="15">
        <f t="shared" si="9"/>
        <v>44.875875000000008</v>
      </c>
    </row>
    <row r="245" spans="1:13" x14ac:dyDescent="0.25">
      <c r="A245" s="5" t="s">
        <v>488</v>
      </c>
      <c r="B245" s="6" t="s">
        <v>489</v>
      </c>
      <c r="C245" s="6" t="str">
        <f>VLOOKUP(A245,'[1]PRECIOS NUEVOS'!$A:$C,3,0)</f>
        <v>Kit de performance . ver foto</v>
      </c>
      <c r="D245" s="5">
        <v>1</v>
      </c>
      <c r="E245" s="5">
        <v>238</v>
      </c>
      <c r="F245" s="5">
        <v>414</v>
      </c>
      <c r="G245" s="11">
        <v>0.17</v>
      </c>
      <c r="H245" s="11">
        <v>0.12</v>
      </c>
      <c r="I245" s="8">
        <f t="shared" si="10"/>
        <v>307.02</v>
      </c>
      <c r="J245" s="10">
        <v>1.1499999999999999</v>
      </c>
      <c r="K245" s="9">
        <f t="shared" si="11"/>
        <v>353.07299999999998</v>
      </c>
      <c r="L245" s="11">
        <v>0.1</v>
      </c>
      <c r="M245" s="15">
        <f t="shared" si="9"/>
        <v>388.38030000000003</v>
      </c>
    </row>
    <row r="246" spans="1:13" x14ac:dyDescent="0.25">
      <c r="A246" s="5" t="s">
        <v>490</v>
      </c>
      <c r="B246" s="6" t="s">
        <v>491</v>
      </c>
      <c r="C246" s="6" t="e">
        <f>VLOOKUP(A246,'[1]PRECIOS NUEVOS'!$A:$C,3,0)</f>
        <v>#N/A</v>
      </c>
      <c r="D246" s="5">
        <v>1</v>
      </c>
      <c r="E246" s="5">
        <v>238</v>
      </c>
      <c r="F246" s="5">
        <v>414</v>
      </c>
      <c r="G246" s="11">
        <v>0.17</v>
      </c>
      <c r="H246" s="11">
        <v>0.12</v>
      </c>
      <c r="I246" s="8">
        <f t="shared" si="10"/>
        <v>307.02</v>
      </c>
      <c r="J246" s="10">
        <v>1.1499999999999999</v>
      </c>
      <c r="K246" s="9">
        <f t="shared" si="11"/>
        <v>353.07299999999998</v>
      </c>
      <c r="L246" s="11">
        <v>0.1</v>
      </c>
      <c r="M246" s="15">
        <f t="shared" si="9"/>
        <v>388.38030000000003</v>
      </c>
    </row>
    <row r="247" spans="1:13" ht="30" x14ac:dyDescent="0.25">
      <c r="A247" s="5" t="s">
        <v>492</v>
      </c>
      <c r="B247" s="6" t="s">
        <v>493</v>
      </c>
      <c r="C247" s="6" t="str">
        <f>VLOOKUP(A247,'[1]PRECIOS NUEVOS'!$A:$C,3,0)</f>
        <v>soporte barra nueva mas dura izquierda</v>
      </c>
      <c r="D247" s="5">
        <v>1</v>
      </c>
      <c r="E247" s="5">
        <v>13</v>
      </c>
      <c r="F247" s="5">
        <v>22.6</v>
      </c>
      <c r="G247" s="11">
        <v>0.17</v>
      </c>
      <c r="H247" s="11">
        <v>0.12</v>
      </c>
      <c r="I247" s="8">
        <f t="shared" si="10"/>
        <v>16.77</v>
      </c>
      <c r="J247" s="10">
        <v>1.1499999999999999</v>
      </c>
      <c r="K247" s="9">
        <f t="shared" si="11"/>
        <v>19.285499999999999</v>
      </c>
      <c r="L247" s="11">
        <v>0.1</v>
      </c>
      <c r="M247" s="15">
        <f t="shared" si="9"/>
        <v>21.21405</v>
      </c>
    </row>
    <row r="248" spans="1:13" ht="30" x14ac:dyDescent="0.25">
      <c r="A248" s="5" t="s">
        <v>494</v>
      </c>
      <c r="B248" s="6" t="s">
        <v>495</v>
      </c>
      <c r="C248" s="6" t="str">
        <f>VLOOKUP(A248,'[1]PRECIOS NUEVOS'!$A:$C,3,0)</f>
        <v>soporte barra nueva mas dura derecha</v>
      </c>
      <c r="D248" s="5">
        <v>1</v>
      </c>
      <c r="E248" s="5">
        <v>13</v>
      </c>
      <c r="F248" s="5">
        <v>22.6</v>
      </c>
      <c r="G248" s="11">
        <v>0.17</v>
      </c>
      <c r="H248" s="11">
        <v>0.12</v>
      </c>
      <c r="I248" s="8">
        <f t="shared" si="10"/>
        <v>16.77</v>
      </c>
      <c r="J248" s="10">
        <v>1.1499999999999999</v>
      </c>
      <c r="K248" s="9">
        <f t="shared" si="11"/>
        <v>19.285499999999999</v>
      </c>
      <c r="L248" s="11">
        <v>0.1</v>
      </c>
      <c r="M248" s="15">
        <f t="shared" si="9"/>
        <v>21.21405</v>
      </c>
    </row>
    <row r="249" spans="1:13" x14ac:dyDescent="0.25">
      <c r="A249" s="5" t="s">
        <v>496</v>
      </c>
      <c r="B249" s="6" t="s">
        <v>497</v>
      </c>
      <c r="C249" s="6" t="str">
        <f>VLOOKUP(A249,'[1]PRECIOS NUEVOS'!$A:$C,3,0)</f>
        <v>Chasis corto KIT 2020 sin laterales</v>
      </c>
      <c r="D249" s="5">
        <v>1</v>
      </c>
      <c r="E249" s="5">
        <v>165</v>
      </c>
      <c r="F249" s="5">
        <v>287</v>
      </c>
      <c r="G249" s="11">
        <v>0.17</v>
      </c>
      <c r="H249" s="11">
        <v>0.12</v>
      </c>
      <c r="I249" s="8">
        <f t="shared" si="10"/>
        <v>212.85</v>
      </c>
      <c r="J249" s="10">
        <v>1.1499999999999999</v>
      </c>
      <c r="K249" s="9">
        <f t="shared" si="11"/>
        <v>244.77749999999997</v>
      </c>
      <c r="L249" s="11">
        <v>0.1</v>
      </c>
      <c r="M249" s="15">
        <f t="shared" si="9"/>
        <v>269.25524999999999</v>
      </c>
    </row>
    <row r="250" spans="1:13" ht="30" x14ac:dyDescent="0.25">
      <c r="A250" s="5" t="s">
        <v>498</v>
      </c>
      <c r="B250" s="6" t="s">
        <v>499</v>
      </c>
      <c r="C250" s="6" t="str">
        <f>VLOOKUP(A250,'[1]PRECIOS NUEVOS'!$A:$C,3,0)</f>
        <v>chasis corto 2020 3 servos sin laterales</v>
      </c>
      <c r="D250" s="5">
        <v>1</v>
      </c>
      <c r="E250" s="5">
        <v>240</v>
      </c>
      <c r="F250" s="5">
        <v>417</v>
      </c>
      <c r="G250" s="11">
        <v>0.17</v>
      </c>
      <c r="H250" s="11">
        <v>0.12</v>
      </c>
      <c r="I250" s="8">
        <f t="shared" si="10"/>
        <v>309.60000000000002</v>
      </c>
      <c r="J250" s="10">
        <v>1.1499999999999999</v>
      </c>
      <c r="K250" s="9">
        <f t="shared" si="11"/>
        <v>356.04</v>
      </c>
      <c r="L250" s="11">
        <v>0.1</v>
      </c>
      <c r="M250" s="15">
        <f t="shared" si="9"/>
        <v>391.64400000000006</v>
      </c>
    </row>
    <row r="251" spans="1:13" ht="30" x14ac:dyDescent="0.25">
      <c r="A251" s="5" t="s">
        <v>500</v>
      </c>
      <c r="B251" s="6" t="s">
        <v>501</v>
      </c>
      <c r="C251" s="6" t="e">
        <f>VLOOKUP(A251,'[1]PRECIOS NUEVOS'!$A:$C,3,0)</f>
        <v>#N/A</v>
      </c>
      <c r="D251" s="5">
        <v>1</v>
      </c>
      <c r="E251" s="5">
        <v>240</v>
      </c>
      <c r="F251" s="5">
        <v>417</v>
      </c>
      <c r="G251" s="11">
        <v>0.17</v>
      </c>
      <c r="H251" s="11">
        <v>0.12</v>
      </c>
      <c r="I251" s="8">
        <f t="shared" si="10"/>
        <v>309.60000000000002</v>
      </c>
      <c r="J251" s="10">
        <v>1.1499999999999999</v>
      </c>
      <c r="K251" s="9">
        <f t="shared" si="11"/>
        <v>356.04</v>
      </c>
      <c r="L251" s="11">
        <v>0.1</v>
      </c>
      <c r="M251" s="15">
        <f t="shared" si="9"/>
        <v>391.64400000000006</v>
      </c>
    </row>
    <row r="252" spans="1:13" ht="30" x14ac:dyDescent="0.25">
      <c r="A252" s="5" t="s">
        <v>502</v>
      </c>
      <c r="B252" s="6" t="s">
        <v>503</v>
      </c>
      <c r="C252" s="6" t="e">
        <f>VLOOKUP(A252,'[1]PRECIOS NUEVOS'!$A:$C,3,0)</f>
        <v>#N/A</v>
      </c>
      <c r="D252" s="5">
        <v>1</v>
      </c>
      <c r="E252" s="5">
        <v>35</v>
      </c>
      <c r="F252" s="5">
        <v>60.9</v>
      </c>
      <c r="G252" s="11">
        <v>0.17</v>
      </c>
      <c r="H252" s="11">
        <v>0.12</v>
      </c>
      <c r="I252" s="8">
        <f t="shared" si="10"/>
        <v>45.15</v>
      </c>
      <c r="J252" s="10">
        <v>1.1499999999999999</v>
      </c>
      <c r="K252" s="9">
        <f t="shared" si="11"/>
        <v>51.922499999999992</v>
      </c>
      <c r="L252" s="11">
        <v>0.1</v>
      </c>
      <c r="M252" s="15">
        <f t="shared" si="9"/>
        <v>57.114749999999994</v>
      </c>
    </row>
    <row r="253" spans="1:13" x14ac:dyDescent="0.25">
      <c r="A253" s="5" t="s">
        <v>504</v>
      </c>
      <c r="B253" s="6" t="s">
        <v>505</v>
      </c>
      <c r="C253" s="6" t="e">
        <f>VLOOKUP(A253,'[1]PRECIOS NUEVOS'!$A:$C,3,0)</f>
        <v>#N/A</v>
      </c>
      <c r="D253" s="5">
        <v>1</v>
      </c>
      <c r="E253" s="5">
        <v>35</v>
      </c>
      <c r="F253" s="5">
        <v>60.9</v>
      </c>
      <c r="G253" s="11">
        <v>0.17</v>
      </c>
      <c r="H253" s="11">
        <v>0.12</v>
      </c>
      <c r="I253" s="8">
        <f t="shared" si="10"/>
        <v>45.15</v>
      </c>
      <c r="J253" s="10">
        <v>1.1499999999999999</v>
      </c>
      <c r="K253" s="9">
        <f t="shared" si="11"/>
        <v>51.922499999999992</v>
      </c>
      <c r="L253" s="11">
        <v>0.1</v>
      </c>
      <c r="M253" s="15">
        <f t="shared" si="9"/>
        <v>57.114749999999994</v>
      </c>
    </row>
    <row r="254" spans="1:13" x14ac:dyDescent="0.25">
      <c r="A254" s="5" t="s">
        <v>506</v>
      </c>
      <c r="B254" s="6" t="s">
        <v>507</v>
      </c>
      <c r="C254" s="6" t="e">
        <f>VLOOKUP(A254,'[1]PRECIOS NUEVOS'!$A:$C,3,0)</f>
        <v>#N/A</v>
      </c>
      <c r="D254" s="5">
        <v>1</v>
      </c>
      <c r="E254" s="5">
        <v>43</v>
      </c>
      <c r="F254" s="5">
        <v>74</v>
      </c>
      <c r="G254" s="11">
        <v>0.17</v>
      </c>
      <c r="H254" s="11">
        <v>0.12</v>
      </c>
      <c r="I254" s="8">
        <f t="shared" si="10"/>
        <v>55.47</v>
      </c>
      <c r="J254" s="10">
        <v>1.1499999999999999</v>
      </c>
      <c r="K254" s="9">
        <f t="shared" si="11"/>
        <v>63.790499999999994</v>
      </c>
      <c r="L254" s="11">
        <v>0.1</v>
      </c>
      <c r="M254" s="15">
        <f t="shared" si="9"/>
        <v>70.169550000000001</v>
      </c>
    </row>
    <row r="255" spans="1:13" x14ac:dyDescent="0.25">
      <c r="A255" s="5" t="s">
        <v>508</v>
      </c>
      <c r="B255" s="6" t="s">
        <v>509</v>
      </c>
      <c r="C255" s="6" t="e">
        <f>VLOOKUP(A255,'[1]PRECIOS NUEVOS'!$A:$C,3,0)</f>
        <v>#N/A</v>
      </c>
      <c r="D255" s="5">
        <v>1</v>
      </c>
      <c r="E255" s="5">
        <v>6.6</v>
      </c>
      <c r="F255" s="5">
        <v>12.15</v>
      </c>
      <c r="G255" s="11">
        <v>0.17</v>
      </c>
      <c r="H255" s="11">
        <v>0.12</v>
      </c>
      <c r="I255" s="8">
        <f t="shared" si="10"/>
        <v>8.5139999999999993</v>
      </c>
      <c r="J255" s="10">
        <v>1.1499999999999999</v>
      </c>
      <c r="K255" s="9">
        <f t="shared" si="11"/>
        <v>9.7910999999999984</v>
      </c>
      <c r="L255" s="11">
        <v>0.1</v>
      </c>
      <c r="M255" s="15">
        <f t="shared" si="9"/>
        <v>10.770209999999999</v>
      </c>
    </row>
    <row r="256" spans="1:13" x14ac:dyDescent="0.25">
      <c r="A256" s="5" t="s">
        <v>510</v>
      </c>
      <c r="B256" s="6" t="s">
        <v>511</v>
      </c>
      <c r="C256" s="6" t="e">
        <f>VLOOKUP(A256,'[1]PRECIOS NUEVOS'!$A:$C,3,0)</f>
        <v>#N/A</v>
      </c>
      <c r="D256" s="5">
        <v>1</v>
      </c>
      <c r="E256" s="5">
        <v>12</v>
      </c>
      <c r="F256" s="5">
        <v>21</v>
      </c>
      <c r="G256" s="11">
        <v>0.17</v>
      </c>
      <c r="H256" s="11">
        <v>0.12</v>
      </c>
      <c r="I256" s="8">
        <f t="shared" si="10"/>
        <v>15.48</v>
      </c>
      <c r="J256" s="10">
        <v>1.1499999999999999</v>
      </c>
      <c r="K256" s="9">
        <f t="shared" si="11"/>
        <v>17.802</v>
      </c>
      <c r="L256" s="11">
        <v>0.1</v>
      </c>
      <c r="M256" s="15">
        <f t="shared" si="9"/>
        <v>19.5822</v>
      </c>
    </row>
    <row r="257" spans="1:13" x14ac:dyDescent="0.25">
      <c r="A257" s="5" t="s">
        <v>512</v>
      </c>
      <c r="B257" s="6" t="s">
        <v>513</v>
      </c>
      <c r="C257" s="6" t="e">
        <f>VLOOKUP(A257,'[1]PRECIOS NUEVOS'!$A:$C,3,0)</f>
        <v>#N/A</v>
      </c>
      <c r="D257" s="5">
        <v>6</v>
      </c>
      <c r="E257" s="5">
        <v>7.3</v>
      </c>
      <c r="F257" s="5">
        <v>13.5</v>
      </c>
      <c r="G257" s="11">
        <v>0.17</v>
      </c>
      <c r="H257" s="11">
        <v>0.12</v>
      </c>
      <c r="I257" s="8">
        <f t="shared" si="10"/>
        <v>9.4169999999999998</v>
      </c>
      <c r="J257" s="10">
        <v>1.1499999999999999</v>
      </c>
      <c r="K257" s="9">
        <f t="shared" si="11"/>
        <v>10.829549999999999</v>
      </c>
      <c r="L257" s="11">
        <v>0.1</v>
      </c>
      <c r="M257" s="15">
        <f t="shared" si="9"/>
        <v>11.912504999999999</v>
      </c>
    </row>
    <row r="258" spans="1:13" x14ac:dyDescent="0.25">
      <c r="A258" s="5" t="s">
        <v>514</v>
      </c>
      <c r="B258" s="6" t="s">
        <v>515</v>
      </c>
      <c r="C258" s="6" t="e">
        <f>VLOOKUP(A258,'[1]PRECIOS NUEVOS'!$A:$C,3,0)</f>
        <v>#N/A</v>
      </c>
      <c r="D258" s="5">
        <v>2</v>
      </c>
      <c r="E258" s="5">
        <v>3.5</v>
      </c>
      <c r="F258" s="5">
        <v>6.5</v>
      </c>
      <c r="G258" s="11">
        <v>0.17</v>
      </c>
      <c r="H258" s="11">
        <v>0.12</v>
      </c>
      <c r="I258" s="8">
        <f t="shared" si="10"/>
        <v>4.5150000000000006</v>
      </c>
      <c r="J258" s="10">
        <v>1.1499999999999999</v>
      </c>
      <c r="K258" s="9">
        <f t="shared" si="11"/>
        <v>5.1922500000000005</v>
      </c>
      <c r="L258" s="11">
        <v>0.1</v>
      </c>
      <c r="M258" s="15">
        <f t="shared" ref="M258:M285" si="12">K258*(1+L258)</f>
        <v>5.711475000000001</v>
      </c>
    </row>
    <row r="259" spans="1:13" x14ac:dyDescent="0.25">
      <c r="A259" s="5" t="s">
        <v>516</v>
      </c>
      <c r="B259" s="6" t="s">
        <v>517</v>
      </c>
      <c r="C259" s="6" t="e">
        <f>VLOOKUP(A259,'[1]PRECIOS NUEVOS'!$A:$C,3,0)</f>
        <v>#N/A</v>
      </c>
      <c r="D259" s="5">
        <v>2</v>
      </c>
      <c r="E259" s="5">
        <v>3.5</v>
      </c>
      <c r="F259" s="5">
        <v>6.5</v>
      </c>
      <c r="G259" s="11">
        <v>0.17</v>
      </c>
      <c r="H259" s="11">
        <v>0.12</v>
      </c>
      <c r="I259" s="8">
        <f t="shared" ref="I259:I285" si="13">E259*(1+G259+H259)</f>
        <v>4.5150000000000006</v>
      </c>
      <c r="J259" s="10">
        <v>1.1499999999999999</v>
      </c>
      <c r="K259" s="9">
        <f t="shared" ref="K259:K285" si="14">I259*J259</f>
        <v>5.1922500000000005</v>
      </c>
      <c r="L259" s="11">
        <v>0.1</v>
      </c>
      <c r="M259" s="15">
        <f t="shared" si="12"/>
        <v>5.711475000000001</v>
      </c>
    </row>
    <row r="260" spans="1:13" x14ac:dyDescent="0.25">
      <c r="A260" s="5" t="s">
        <v>518</v>
      </c>
      <c r="B260" s="6" t="s">
        <v>519</v>
      </c>
      <c r="C260" s="6" t="e">
        <f>VLOOKUP(A260,'[1]PRECIOS NUEVOS'!$A:$C,3,0)</f>
        <v>#N/A</v>
      </c>
      <c r="D260" s="5">
        <v>2</v>
      </c>
      <c r="E260" s="5">
        <v>3.5</v>
      </c>
      <c r="F260" s="5">
        <v>6.5</v>
      </c>
      <c r="G260" s="11">
        <v>0.17</v>
      </c>
      <c r="H260" s="11">
        <v>0.12</v>
      </c>
      <c r="I260" s="8">
        <f t="shared" si="13"/>
        <v>4.5150000000000006</v>
      </c>
      <c r="J260" s="10">
        <v>1.1499999999999999</v>
      </c>
      <c r="K260" s="9">
        <f t="shared" si="14"/>
        <v>5.1922500000000005</v>
      </c>
      <c r="L260" s="11">
        <v>0.1</v>
      </c>
      <c r="M260" s="15">
        <f t="shared" si="12"/>
        <v>5.711475000000001</v>
      </c>
    </row>
    <row r="261" spans="1:13" ht="30" x14ac:dyDescent="0.25">
      <c r="A261" s="5" t="s">
        <v>520</v>
      </c>
      <c r="B261" s="6" t="s">
        <v>521</v>
      </c>
      <c r="C261" s="6" t="e">
        <f>VLOOKUP(A261,'[1]PRECIOS NUEVOS'!$A:$C,3,0)</f>
        <v>#N/A</v>
      </c>
      <c r="D261" s="5">
        <v>1</v>
      </c>
      <c r="E261" s="7">
        <v>1900</v>
      </c>
      <c r="F261" s="7">
        <v>2700</v>
      </c>
      <c r="G261" s="11">
        <v>0.17</v>
      </c>
      <c r="H261" s="11">
        <v>0.12</v>
      </c>
      <c r="I261" s="8">
        <f t="shared" si="13"/>
        <v>2451</v>
      </c>
      <c r="J261" s="10">
        <v>1.1499999999999999</v>
      </c>
      <c r="K261" s="9">
        <f t="shared" si="14"/>
        <v>2818.6499999999996</v>
      </c>
      <c r="L261" s="11">
        <v>0.1</v>
      </c>
      <c r="M261" s="15">
        <f t="shared" si="12"/>
        <v>3100.5149999999999</v>
      </c>
    </row>
    <row r="262" spans="1:13" ht="30" x14ac:dyDescent="0.25">
      <c r="A262" s="5" t="s">
        <v>522</v>
      </c>
      <c r="B262" s="6" t="s">
        <v>523</v>
      </c>
      <c r="C262" s="6" t="e">
        <f>VLOOKUP(A262,'[1]PRECIOS NUEVOS'!$A:$C,3,0)</f>
        <v>#N/A</v>
      </c>
      <c r="D262" s="5">
        <v>1</v>
      </c>
      <c r="E262" s="7">
        <v>1900</v>
      </c>
      <c r="F262" s="7">
        <v>2700</v>
      </c>
      <c r="G262" s="11">
        <v>0.17</v>
      </c>
      <c r="H262" s="11">
        <v>0.12</v>
      </c>
      <c r="I262" s="8">
        <f t="shared" si="13"/>
        <v>2451</v>
      </c>
      <c r="J262" s="10">
        <v>1.1499999999999999</v>
      </c>
      <c r="K262" s="9">
        <f t="shared" si="14"/>
        <v>2818.6499999999996</v>
      </c>
      <c r="L262" s="11">
        <v>0.1</v>
      </c>
      <c r="M262" s="15">
        <f t="shared" si="12"/>
        <v>3100.5149999999999</v>
      </c>
    </row>
    <row r="263" spans="1:13" ht="30" x14ac:dyDescent="0.25">
      <c r="A263" s="5" t="s">
        <v>524</v>
      </c>
      <c r="B263" s="6" t="s">
        <v>525</v>
      </c>
      <c r="C263" s="6" t="e">
        <f>VLOOKUP(A263,'[1]PRECIOS NUEVOS'!$A:$C,3,0)</f>
        <v>#N/A</v>
      </c>
      <c r="D263" s="5">
        <v>1</v>
      </c>
      <c r="E263" s="5">
        <v>284</v>
      </c>
      <c r="F263" s="5">
        <v>492</v>
      </c>
      <c r="G263" s="11">
        <v>0.17</v>
      </c>
      <c r="H263" s="11">
        <v>0.12</v>
      </c>
      <c r="I263" s="8">
        <f t="shared" si="13"/>
        <v>366.36</v>
      </c>
      <c r="J263" s="10">
        <v>1.1499999999999999</v>
      </c>
      <c r="K263" s="9">
        <f t="shared" si="14"/>
        <v>421.31399999999996</v>
      </c>
      <c r="L263" s="11">
        <v>0.1</v>
      </c>
      <c r="M263" s="15">
        <f t="shared" si="12"/>
        <v>463.44540000000001</v>
      </c>
    </row>
    <row r="264" spans="1:13" x14ac:dyDescent="0.25">
      <c r="A264" s="5" t="s">
        <v>526</v>
      </c>
      <c r="B264" s="6" t="s">
        <v>527</v>
      </c>
      <c r="C264" s="6" t="e">
        <f>VLOOKUP(A264,'[1]PRECIOS NUEVOS'!$A:$C,3,0)</f>
        <v>#N/A</v>
      </c>
      <c r="D264" s="5">
        <v>1</v>
      </c>
      <c r="E264" s="5">
        <v>201.5</v>
      </c>
      <c r="F264" s="5">
        <v>350</v>
      </c>
      <c r="G264" s="11">
        <v>0.17</v>
      </c>
      <c r="H264" s="11">
        <v>0.12</v>
      </c>
      <c r="I264" s="8">
        <f t="shared" si="13"/>
        <v>259.935</v>
      </c>
      <c r="J264" s="10">
        <v>1.1499999999999999</v>
      </c>
      <c r="K264" s="9">
        <f t="shared" si="14"/>
        <v>298.92525000000001</v>
      </c>
      <c r="L264" s="11">
        <v>0.1</v>
      </c>
      <c r="M264" s="15">
        <f t="shared" si="12"/>
        <v>328.81777500000004</v>
      </c>
    </row>
    <row r="265" spans="1:13" ht="30" x14ac:dyDescent="0.25">
      <c r="A265" s="5" t="s">
        <v>528</v>
      </c>
      <c r="B265" s="6" t="s">
        <v>529</v>
      </c>
      <c r="C265" s="6" t="e">
        <f>VLOOKUP(A265,'[1]PRECIOS NUEVOS'!$A:$C,3,0)</f>
        <v>#N/A</v>
      </c>
      <c r="D265" s="5">
        <v>2</v>
      </c>
      <c r="E265" s="5">
        <v>21.5</v>
      </c>
      <c r="F265" s="5">
        <v>40</v>
      </c>
      <c r="G265" s="11">
        <v>0.17</v>
      </c>
      <c r="H265" s="11">
        <v>0.12</v>
      </c>
      <c r="I265" s="8">
        <f t="shared" si="13"/>
        <v>27.734999999999999</v>
      </c>
      <c r="J265" s="10">
        <v>1.1499999999999999</v>
      </c>
      <c r="K265" s="9">
        <f t="shared" si="14"/>
        <v>31.895249999999997</v>
      </c>
      <c r="L265" s="11">
        <v>0.1</v>
      </c>
      <c r="M265" s="15">
        <f t="shared" si="12"/>
        <v>35.084775</v>
      </c>
    </row>
    <row r="266" spans="1:13" ht="30" x14ac:dyDescent="0.25">
      <c r="A266" s="5" t="s">
        <v>530</v>
      </c>
      <c r="B266" s="6" t="s">
        <v>531</v>
      </c>
      <c r="C266" s="6" t="e">
        <f>VLOOKUP(A266,'[1]PRECIOS NUEVOS'!$A:$C,3,0)</f>
        <v>#N/A</v>
      </c>
      <c r="D266" s="5">
        <v>1</v>
      </c>
      <c r="E266" s="5">
        <v>22</v>
      </c>
      <c r="F266" s="5">
        <v>39</v>
      </c>
      <c r="G266" s="11">
        <v>0.17</v>
      </c>
      <c r="H266" s="11">
        <v>0.12</v>
      </c>
      <c r="I266" s="8">
        <f t="shared" si="13"/>
        <v>28.380000000000003</v>
      </c>
      <c r="J266" s="10">
        <v>1.1499999999999999</v>
      </c>
      <c r="K266" s="9">
        <f t="shared" si="14"/>
        <v>32.637</v>
      </c>
      <c r="L266" s="11">
        <v>0.1</v>
      </c>
      <c r="M266" s="15">
        <f t="shared" si="12"/>
        <v>35.900700000000001</v>
      </c>
    </row>
    <row r="267" spans="1:13" ht="30" x14ac:dyDescent="0.25">
      <c r="A267" s="5" t="s">
        <v>532</v>
      </c>
      <c r="B267" s="6" t="s">
        <v>533</v>
      </c>
      <c r="C267" s="6" t="e">
        <f>VLOOKUP(A267,'[1]PRECIOS NUEVOS'!$A:$C,3,0)</f>
        <v>#N/A</v>
      </c>
      <c r="D267" s="5">
        <v>1</v>
      </c>
      <c r="E267" s="5">
        <v>46</v>
      </c>
      <c r="F267" s="5">
        <v>80</v>
      </c>
      <c r="G267" s="11">
        <v>0.17</v>
      </c>
      <c r="H267" s="11">
        <v>0.12</v>
      </c>
      <c r="I267" s="8">
        <f t="shared" si="13"/>
        <v>59.34</v>
      </c>
      <c r="J267" s="10">
        <v>1.1499999999999999</v>
      </c>
      <c r="K267" s="9">
        <f t="shared" si="14"/>
        <v>68.241</v>
      </c>
      <c r="L267" s="11">
        <v>0.1</v>
      </c>
      <c r="M267" s="15">
        <f t="shared" si="12"/>
        <v>75.065100000000001</v>
      </c>
    </row>
    <row r="268" spans="1:13" ht="30" x14ac:dyDescent="0.25">
      <c r="A268" s="5" t="s">
        <v>534</v>
      </c>
      <c r="B268" s="6" t="s">
        <v>535</v>
      </c>
      <c r="C268" s="6" t="e">
        <f>VLOOKUP(A268,'[1]PRECIOS NUEVOS'!$A:$C,3,0)</f>
        <v>#N/A</v>
      </c>
      <c r="D268" s="5">
        <v>1</v>
      </c>
      <c r="E268" s="5">
        <v>46</v>
      </c>
      <c r="F268" s="5">
        <v>80</v>
      </c>
      <c r="G268" s="11">
        <v>0.17</v>
      </c>
      <c r="H268" s="11">
        <v>0.12</v>
      </c>
      <c r="I268" s="8">
        <f t="shared" si="13"/>
        <v>59.34</v>
      </c>
      <c r="J268" s="10">
        <v>1.1499999999999999</v>
      </c>
      <c r="K268" s="9">
        <f t="shared" si="14"/>
        <v>68.241</v>
      </c>
      <c r="L268" s="11">
        <v>0.1</v>
      </c>
      <c r="M268" s="15">
        <f t="shared" si="12"/>
        <v>75.065100000000001</v>
      </c>
    </row>
    <row r="269" spans="1:13" x14ac:dyDescent="0.25">
      <c r="A269" s="5" t="s">
        <v>536</v>
      </c>
      <c r="B269" s="6" t="s">
        <v>537</v>
      </c>
      <c r="C269" s="6" t="e">
        <f>VLOOKUP(A269,'[1]PRECIOS NUEVOS'!$A:$C,3,0)</f>
        <v>#N/A</v>
      </c>
      <c r="D269" s="5">
        <v>1</v>
      </c>
      <c r="E269" s="5">
        <v>165</v>
      </c>
      <c r="F269" s="5">
        <v>287</v>
      </c>
      <c r="G269" s="11">
        <v>0.17</v>
      </c>
      <c r="H269" s="11">
        <v>0.12</v>
      </c>
      <c r="I269" s="8">
        <f t="shared" si="13"/>
        <v>212.85</v>
      </c>
      <c r="J269" s="10">
        <v>1.1499999999999999</v>
      </c>
      <c r="K269" s="9">
        <f t="shared" si="14"/>
        <v>244.77749999999997</v>
      </c>
      <c r="L269" s="11">
        <v>0.1</v>
      </c>
      <c r="M269" s="15">
        <f t="shared" si="12"/>
        <v>269.25524999999999</v>
      </c>
    </row>
    <row r="270" spans="1:13" x14ac:dyDescent="0.25">
      <c r="A270" s="5" t="s">
        <v>538</v>
      </c>
      <c r="B270" s="6" t="s">
        <v>539</v>
      </c>
      <c r="C270" s="6" t="e">
        <f>VLOOKUP(A270,'[1]PRECIOS NUEVOS'!$A:$C,3,0)</f>
        <v>#N/A</v>
      </c>
      <c r="D270" s="5">
        <v>4</v>
      </c>
      <c r="E270" s="5">
        <v>1.65</v>
      </c>
      <c r="F270" s="5">
        <v>3.8</v>
      </c>
      <c r="G270" s="11">
        <v>0.17</v>
      </c>
      <c r="H270" s="11">
        <v>0.12</v>
      </c>
      <c r="I270" s="8">
        <f t="shared" si="13"/>
        <v>2.1284999999999998</v>
      </c>
      <c r="J270" s="10">
        <v>1.1499999999999999</v>
      </c>
      <c r="K270" s="9">
        <f t="shared" si="14"/>
        <v>2.4477749999999996</v>
      </c>
      <c r="L270" s="11">
        <v>0.1</v>
      </c>
      <c r="M270" s="15">
        <f t="shared" si="12"/>
        <v>2.6925524999999997</v>
      </c>
    </row>
    <row r="271" spans="1:13" x14ac:dyDescent="0.25">
      <c r="A271" s="5" t="s">
        <v>540</v>
      </c>
      <c r="B271" s="6" t="s">
        <v>541</v>
      </c>
      <c r="C271" s="6" t="e">
        <f>VLOOKUP(A271,'[1]PRECIOS NUEVOS'!$A:$C,3,0)</f>
        <v>#N/A</v>
      </c>
      <c r="D271" s="5">
        <v>4</v>
      </c>
      <c r="E271" s="5">
        <v>1.65</v>
      </c>
      <c r="F271" s="5">
        <v>3.8</v>
      </c>
      <c r="G271" s="11">
        <v>0.17</v>
      </c>
      <c r="H271" s="11">
        <v>0.12</v>
      </c>
      <c r="I271" s="8">
        <f t="shared" si="13"/>
        <v>2.1284999999999998</v>
      </c>
      <c r="J271" s="10">
        <v>1.1499999999999999</v>
      </c>
      <c r="K271" s="9">
        <f t="shared" si="14"/>
        <v>2.4477749999999996</v>
      </c>
      <c r="L271" s="11">
        <v>0.1</v>
      </c>
      <c r="M271" s="15">
        <f t="shared" si="12"/>
        <v>2.6925524999999997</v>
      </c>
    </row>
    <row r="272" spans="1:13" x14ac:dyDescent="0.25">
      <c r="A272" s="5" t="s">
        <v>542</v>
      </c>
      <c r="B272" s="6" t="s">
        <v>543</v>
      </c>
      <c r="C272" s="6" t="e">
        <f>VLOOKUP(A272,'[1]PRECIOS NUEVOS'!$A:$C,3,0)</f>
        <v>#N/A</v>
      </c>
      <c r="D272" s="5">
        <v>1</v>
      </c>
      <c r="E272" s="5">
        <v>42</v>
      </c>
      <c r="F272" s="5">
        <v>60</v>
      </c>
      <c r="G272" s="11">
        <v>0.17</v>
      </c>
      <c r="H272" s="11">
        <v>0.12</v>
      </c>
      <c r="I272" s="8">
        <f t="shared" si="13"/>
        <v>54.18</v>
      </c>
      <c r="J272" s="10">
        <v>1.1499999999999999</v>
      </c>
      <c r="K272" s="9">
        <f t="shared" si="14"/>
        <v>62.306999999999995</v>
      </c>
      <c r="L272" s="11">
        <v>0.1</v>
      </c>
      <c r="M272" s="15">
        <f t="shared" si="12"/>
        <v>68.537700000000001</v>
      </c>
    </row>
    <row r="273" spans="1:13" x14ac:dyDescent="0.25">
      <c r="A273" s="5" t="s">
        <v>544</v>
      </c>
      <c r="B273" s="6" t="s">
        <v>545</v>
      </c>
      <c r="C273" s="6" t="e">
        <f>VLOOKUP(A273,'[1]PRECIOS NUEVOS'!$A:$C,3,0)</f>
        <v>#N/A</v>
      </c>
      <c r="D273" s="5">
        <v>1</v>
      </c>
      <c r="E273" s="5">
        <v>17.5</v>
      </c>
      <c r="F273" s="5">
        <v>30.5</v>
      </c>
      <c r="G273" s="11">
        <v>0.17</v>
      </c>
      <c r="H273" s="11">
        <v>0.12</v>
      </c>
      <c r="I273" s="8">
        <f t="shared" si="13"/>
        <v>22.574999999999999</v>
      </c>
      <c r="J273" s="10">
        <v>1.1499999999999999</v>
      </c>
      <c r="K273" s="9">
        <f t="shared" si="14"/>
        <v>25.961249999999996</v>
      </c>
      <c r="L273" s="11">
        <v>0.1</v>
      </c>
      <c r="M273" s="15">
        <f t="shared" si="12"/>
        <v>28.557374999999997</v>
      </c>
    </row>
    <row r="274" spans="1:13" x14ac:dyDescent="0.25">
      <c r="A274" s="5" t="s">
        <v>546</v>
      </c>
      <c r="B274" s="6" t="s">
        <v>547</v>
      </c>
      <c r="C274" s="6" t="e">
        <f>VLOOKUP(A274,'[1]PRECIOS NUEVOS'!$A:$C,3,0)</f>
        <v>#N/A</v>
      </c>
      <c r="D274" s="5">
        <v>1</v>
      </c>
      <c r="E274" s="5">
        <v>20.5</v>
      </c>
      <c r="F274" s="5">
        <v>35.5</v>
      </c>
      <c r="G274" s="11">
        <v>0.17</v>
      </c>
      <c r="H274" s="11">
        <v>0.12</v>
      </c>
      <c r="I274" s="8">
        <f t="shared" si="13"/>
        <v>26.445</v>
      </c>
      <c r="J274" s="10">
        <v>1.1499999999999999</v>
      </c>
      <c r="K274" s="9">
        <f t="shared" si="14"/>
        <v>30.411749999999998</v>
      </c>
      <c r="L274" s="11">
        <v>0.1</v>
      </c>
      <c r="M274" s="15">
        <f t="shared" si="12"/>
        <v>33.452925</v>
      </c>
    </row>
    <row r="275" spans="1:13" x14ac:dyDescent="0.25">
      <c r="A275" s="5" t="s">
        <v>548</v>
      </c>
      <c r="B275" s="6" t="s">
        <v>549</v>
      </c>
      <c r="C275" s="6" t="str">
        <f>VLOOKUP(A275,'[1]PRECIOS NUEVOS'!$A:$C,3,0)</f>
        <v>remera</v>
      </c>
      <c r="D275" s="5">
        <v>1</v>
      </c>
      <c r="E275" s="5">
        <v>20</v>
      </c>
      <c r="F275" s="5">
        <v>29</v>
      </c>
      <c r="G275" s="11">
        <v>0.17</v>
      </c>
      <c r="H275" s="11">
        <v>0.12</v>
      </c>
      <c r="I275" s="8">
        <f t="shared" si="13"/>
        <v>25.8</v>
      </c>
      <c r="J275" s="10">
        <v>1.1499999999999999</v>
      </c>
      <c r="K275" s="9">
        <f t="shared" si="14"/>
        <v>29.669999999999998</v>
      </c>
      <c r="L275" s="11">
        <v>0.1</v>
      </c>
      <c r="M275" s="15">
        <f t="shared" si="12"/>
        <v>32.637</v>
      </c>
    </row>
    <row r="276" spans="1:13" x14ac:dyDescent="0.25">
      <c r="A276" s="5" t="s">
        <v>550</v>
      </c>
      <c r="B276" s="6" t="s">
        <v>551</v>
      </c>
      <c r="C276" s="6" t="str">
        <f>VLOOKUP(A276,'[1]PRECIOS NUEVOS'!$A:$C,3,0)</f>
        <v xml:space="preserve">buzo </v>
      </c>
      <c r="D276" s="5">
        <v>1</v>
      </c>
      <c r="E276" s="5">
        <v>35</v>
      </c>
      <c r="F276" s="5">
        <v>45</v>
      </c>
      <c r="G276" s="11">
        <v>0.17</v>
      </c>
      <c r="H276" s="11">
        <v>0.12</v>
      </c>
      <c r="I276" s="8">
        <f t="shared" si="13"/>
        <v>45.15</v>
      </c>
      <c r="J276" s="10">
        <v>1.1499999999999999</v>
      </c>
      <c r="K276" s="9">
        <f t="shared" si="14"/>
        <v>51.922499999999992</v>
      </c>
      <c r="L276" s="11">
        <v>0.1</v>
      </c>
      <c r="M276" s="15">
        <f t="shared" si="12"/>
        <v>57.114749999999994</v>
      </c>
    </row>
    <row r="277" spans="1:13" x14ac:dyDescent="0.25">
      <c r="A277" s="5" t="s">
        <v>552</v>
      </c>
      <c r="B277" s="6" t="s">
        <v>553</v>
      </c>
      <c r="C277" s="6" t="str">
        <f>VLOOKUP(A277,'[1]PRECIOS NUEVOS'!$A:$C,3,0)</f>
        <v>campera rompevientos</v>
      </c>
      <c r="D277" s="5">
        <v>1</v>
      </c>
      <c r="E277" s="5">
        <v>30</v>
      </c>
      <c r="F277" s="5">
        <v>39</v>
      </c>
      <c r="G277" s="11">
        <v>0.17</v>
      </c>
      <c r="H277" s="11">
        <v>0.12</v>
      </c>
      <c r="I277" s="8">
        <f t="shared" si="13"/>
        <v>38.700000000000003</v>
      </c>
      <c r="J277" s="10">
        <v>1.1499999999999999</v>
      </c>
      <c r="K277" s="9">
        <f t="shared" si="14"/>
        <v>44.505000000000003</v>
      </c>
      <c r="L277" s="11">
        <v>0.1</v>
      </c>
      <c r="M277" s="15">
        <f t="shared" si="12"/>
        <v>48.955500000000008</v>
      </c>
    </row>
    <row r="278" spans="1:13" x14ac:dyDescent="0.25">
      <c r="A278" s="5" t="s">
        <v>554</v>
      </c>
      <c r="B278" s="6" t="s">
        <v>555</v>
      </c>
      <c r="C278" s="6" t="str">
        <f>VLOOKUP(A278,'[1]PRECIOS NUEVOS'!$A:$C,3,0)</f>
        <v>campera de invierno</v>
      </c>
      <c r="D278" s="5">
        <v>1</v>
      </c>
      <c r="E278" s="5">
        <v>90</v>
      </c>
      <c r="F278" s="5">
        <v>120</v>
      </c>
      <c r="G278" s="11">
        <v>0.17</v>
      </c>
      <c r="H278" s="11">
        <v>0.12</v>
      </c>
      <c r="I278" s="8">
        <f t="shared" si="13"/>
        <v>116.10000000000001</v>
      </c>
      <c r="J278" s="10">
        <v>1.1499999999999999</v>
      </c>
      <c r="K278" s="9">
        <f t="shared" si="14"/>
        <v>133.51499999999999</v>
      </c>
      <c r="L278" s="11">
        <v>0.1</v>
      </c>
      <c r="M278" s="15">
        <f t="shared" si="12"/>
        <v>146.8665</v>
      </c>
    </row>
    <row r="279" spans="1:13" x14ac:dyDescent="0.25">
      <c r="A279" s="5" t="s">
        <v>556</v>
      </c>
      <c r="B279" s="6" t="s">
        <v>557</v>
      </c>
      <c r="C279" s="6" t="e">
        <f>VLOOKUP(A279,'[1]PRECIOS NUEVOS'!$A:$C,3,0)</f>
        <v>#N/A</v>
      </c>
      <c r="D279" s="5">
        <v>1</v>
      </c>
      <c r="E279" s="5">
        <v>44</v>
      </c>
      <c r="F279" s="5">
        <v>57</v>
      </c>
      <c r="G279" s="11">
        <v>0.17</v>
      </c>
      <c r="H279" s="11">
        <v>0.12</v>
      </c>
      <c r="I279" s="8">
        <f t="shared" si="13"/>
        <v>56.760000000000005</v>
      </c>
      <c r="J279" s="10">
        <v>1.1499999999999999</v>
      </c>
      <c r="K279" s="9">
        <f t="shared" si="14"/>
        <v>65.274000000000001</v>
      </c>
      <c r="L279" s="11">
        <v>0.1</v>
      </c>
      <c r="M279" s="15">
        <f t="shared" si="12"/>
        <v>71.801400000000001</v>
      </c>
    </row>
    <row r="280" spans="1:13" x14ac:dyDescent="0.25">
      <c r="A280" s="5" t="s">
        <v>558</v>
      </c>
      <c r="B280" s="6" t="s">
        <v>559</v>
      </c>
      <c r="C280" s="6" t="e">
        <f>VLOOKUP(A280,'[1]PRECIOS NUEVOS'!$A:$C,3,0)</f>
        <v>#N/A</v>
      </c>
      <c r="D280" s="5">
        <v>1</v>
      </c>
      <c r="E280" s="5">
        <v>70</v>
      </c>
      <c r="F280" s="5">
        <v>92</v>
      </c>
      <c r="G280" s="11">
        <v>0.17</v>
      </c>
      <c r="H280" s="11">
        <v>0.12</v>
      </c>
      <c r="I280" s="8">
        <f t="shared" si="13"/>
        <v>90.3</v>
      </c>
      <c r="J280" s="10">
        <v>1.1499999999999999</v>
      </c>
      <c r="K280" s="9">
        <f t="shared" si="14"/>
        <v>103.84499999999998</v>
      </c>
      <c r="L280" s="11">
        <v>0.1</v>
      </c>
      <c r="M280" s="15">
        <f t="shared" si="12"/>
        <v>114.22949999999999</v>
      </c>
    </row>
    <row r="281" spans="1:13" x14ac:dyDescent="0.25">
      <c r="A281" s="5" t="s">
        <v>560</v>
      </c>
      <c r="B281" s="6" t="s">
        <v>561</v>
      </c>
      <c r="C281" s="6" t="e">
        <f>VLOOKUP(A281,'[1]PRECIOS NUEVOS'!$A:$C,3,0)</f>
        <v>#N/A</v>
      </c>
      <c r="D281" s="5">
        <v>1</v>
      </c>
      <c r="E281" s="5">
        <v>25</v>
      </c>
      <c r="F281" s="5">
        <v>32.5</v>
      </c>
      <c r="G281" s="11">
        <v>0.17</v>
      </c>
      <c r="H281" s="11">
        <v>0.12</v>
      </c>
      <c r="I281" s="8">
        <f t="shared" si="13"/>
        <v>32.25</v>
      </c>
      <c r="J281" s="10">
        <v>1.1499999999999999</v>
      </c>
      <c r="K281" s="9">
        <f t="shared" si="14"/>
        <v>37.087499999999999</v>
      </c>
      <c r="L281" s="11">
        <v>0.1</v>
      </c>
      <c r="M281" s="15">
        <f t="shared" si="12"/>
        <v>40.796250000000001</v>
      </c>
    </row>
    <row r="282" spans="1:13" x14ac:dyDescent="0.25">
      <c r="A282" s="5" t="s">
        <v>562</v>
      </c>
      <c r="B282" s="6" t="s">
        <v>563</v>
      </c>
      <c r="C282" s="6" t="e">
        <f>VLOOKUP(A282,'[1]PRECIOS NUEVOS'!$A:$C,3,0)</f>
        <v>#N/A</v>
      </c>
      <c r="D282" s="5">
        <v>1</v>
      </c>
      <c r="E282" s="5">
        <v>59</v>
      </c>
      <c r="F282" s="5">
        <v>75</v>
      </c>
      <c r="G282" s="11">
        <v>0.17</v>
      </c>
      <c r="H282" s="11">
        <v>0.12</v>
      </c>
      <c r="I282" s="8">
        <f t="shared" si="13"/>
        <v>76.11</v>
      </c>
      <c r="J282" s="10">
        <v>1.1499999999999999</v>
      </c>
      <c r="K282" s="9">
        <f t="shared" si="14"/>
        <v>87.526499999999999</v>
      </c>
      <c r="L282" s="11">
        <v>0.1</v>
      </c>
      <c r="M282" s="15">
        <f t="shared" si="12"/>
        <v>96.279150000000001</v>
      </c>
    </row>
    <row r="283" spans="1:13" x14ac:dyDescent="0.25">
      <c r="A283" s="5" t="s">
        <v>564</v>
      </c>
      <c r="B283" s="6" t="s">
        <v>565</v>
      </c>
      <c r="C283" s="6" t="e">
        <f>VLOOKUP(A283,'[1]PRECIOS NUEVOS'!$A:$C,3,0)</f>
        <v>#N/A</v>
      </c>
      <c r="D283" s="5">
        <v>1</v>
      </c>
      <c r="E283" s="5">
        <v>119</v>
      </c>
      <c r="F283" s="5">
        <v>130</v>
      </c>
      <c r="G283" s="11">
        <v>0.17</v>
      </c>
      <c r="H283" s="11">
        <v>0.12</v>
      </c>
      <c r="I283" s="8">
        <f t="shared" si="13"/>
        <v>153.51</v>
      </c>
      <c r="J283" s="10">
        <v>1.1499999999999999</v>
      </c>
      <c r="K283" s="9">
        <f t="shared" si="14"/>
        <v>176.53649999999999</v>
      </c>
      <c r="L283" s="11">
        <v>0.1</v>
      </c>
      <c r="M283" s="15">
        <f t="shared" si="12"/>
        <v>194.19015000000002</v>
      </c>
    </row>
    <row r="284" spans="1:13" x14ac:dyDescent="0.25">
      <c r="A284" s="5" t="s">
        <v>566</v>
      </c>
      <c r="B284" s="6" t="s">
        <v>567</v>
      </c>
      <c r="C284" s="6" t="e">
        <f>VLOOKUP(A284,'[1]PRECIOS NUEVOS'!$A:$C,3,0)</f>
        <v>#N/A</v>
      </c>
      <c r="D284" s="5">
        <v>1</v>
      </c>
      <c r="E284" s="5">
        <v>149</v>
      </c>
      <c r="F284" s="5">
        <v>160</v>
      </c>
      <c r="G284" s="11">
        <v>0.17</v>
      </c>
      <c r="H284" s="11">
        <v>0.12</v>
      </c>
      <c r="I284" s="8">
        <f t="shared" si="13"/>
        <v>192.21</v>
      </c>
      <c r="J284" s="10">
        <v>1.1499999999999999</v>
      </c>
      <c r="K284" s="9">
        <f t="shared" si="14"/>
        <v>221.04149999999998</v>
      </c>
      <c r="L284" s="11">
        <v>0.1</v>
      </c>
      <c r="M284" s="15">
        <f t="shared" si="12"/>
        <v>243.14564999999999</v>
      </c>
    </row>
    <row r="285" spans="1:13" x14ac:dyDescent="0.25">
      <c r="A285" s="5" t="s">
        <v>550</v>
      </c>
      <c r="B285" s="6" t="s">
        <v>568</v>
      </c>
      <c r="C285" s="6" t="str">
        <f>VLOOKUP(A285,'[1]PRECIOS NUEVOS'!$A:$C,3,0)</f>
        <v xml:space="preserve">buzo </v>
      </c>
      <c r="D285" s="5">
        <v>1</v>
      </c>
      <c r="E285" s="5">
        <v>65</v>
      </c>
      <c r="F285" s="5">
        <v>84</v>
      </c>
      <c r="G285" s="11">
        <v>0.17</v>
      </c>
      <c r="H285" s="11">
        <v>0.12</v>
      </c>
      <c r="I285" s="8">
        <f t="shared" si="13"/>
        <v>83.850000000000009</v>
      </c>
      <c r="J285" s="10">
        <v>1.1499999999999999</v>
      </c>
      <c r="K285" s="9">
        <f t="shared" si="14"/>
        <v>96.427500000000009</v>
      </c>
      <c r="L285" s="11">
        <v>0.1</v>
      </c>
      <c r="M285" s="15">
        <f t="shared" si="12"/>
        <v>106.07025000000002</v>
      </c>
    </row>
    <row r="286" spans="1:13" x14ac:dyDescent="0.25">
      <c r="C286" s="6" t="e">
        <f>VLOOKUP(A286,'[1]PRECIOS NUEVOS'!$A:$C,3,0)</f>
        <v>#N/A</v>
      </c>
      <c r="G286" s="11">
        <v>0.17</v>
      </c>
      <c r="H286" s="11">
        <v>0.12</v>
      </c>
      <c r="I286" s="8">
        <f t="shared" ref="I286:I349" si="15">E286*(1+G286+H286)</f>
        <v>0</v>
      </c>
      <c r="J286" s="10">
        <v>1.1499999999999999</v>
      </c>
      <c r="K286" s="9">
        <f t="shared" ref="K286:K349" si="16">I286*J286</f>
        <v>0</v>
      </c>
      <c r="L286" s="11">
        <v>0.1</v>
      </c>
      <c r="M286" s="15">
        <f t="shared" ref="M286:M349" si="17">K286*(1+L286)</f>
        <v>0</v>
      </c>
    </row>
    <row r="287" spans="1:13" x14ac:dyDescent="0.25">
      <c r="A287" s="12" t="s">
        <v>578</v>
      </c>
      <c r="B287" s="12" t="s">
        <v>579</v>
      </c>
      <c r="C287" s="6" t="e">
        <f>VLOOKUP(A287,'[1]PRECIOS NUEVOS'!$A:$C,3,0)</f>
        <v>#N/A</v>
      </c>
      <c r="D287" s="13">
        <v>2</v>
      </c>
      <c r="E287" s="12">
        <v>143</v>
      </c>
      <c r="F287" s="12">
        <v>218</v>
      </c>
      <c r="G287" s="11">
        <v>0.17</v>
      </c>
      <c r="H287" s="11">
        <v>0.12</v>
      </c>
      <c r="I287" s="8">
        <f t="shared" si="15"/>
        <v>184.47</v>
      </c>
      <c r="J287" s="10">
        <v>1.1499999999999999</v>
      </c>
      <c r="K287" s="9">
        <f t="shared" si="16"/>
        <v>212.14049999999997</v>
      </c>
      <c r="L287" s="11">
        <v>0.1</v>
      </c>
      <c r="M287" s="15">
        <f t="shared" si="17"/>
        <v>233.35454999999999</v>
      </c>
    </row>
    <row r="288" spans="1:13" x14ac:dyDescent="0.25">
      <c r="A288" s="12" t="s">
        <v>580</v>
      </c>
      <c r="B288" s="12" t="s">
        <v>581</v>
      </c>
      <c r="C288" s="6" t="e">
        <f>VLOOKUP(A288,'[1]PRECIOS NUEVOS'!$A:$C,3,0)</f>
        <v>#N/A</v>
      </c>
      <c r="D288" s="13">
        <v>2</v>
      </c>
      <c r="E288" s="12">
        <v>115.5</v>
      </c>
      <c r="F288" s="12">
        <v>175</v>
      </c>
      <c r="G288" s="11">
        <v>0.17</v>
      </c>
      <c r="H288" s="11">
        <v>0.12</v>
      </c>
      <c r="I288" s="8">
        <f t="shared" si="15"/>
        <v>148.995</v>
      </c>
      <c r="J288" s="10">
        <v>1.1499999999999999</v>
      </c>
      <c r="K288" s="9">
        <f t="shared" si="16"/>
        <v>171.34424999999999</v>
      </c>
      <c r="L288" s="11">
        <v>0.1</v>
      </c>
      <c r="M288" s="15">
        <f t="shared" si="17"/>
        <v>188.47867500000001</v>
      </c>
    </row>
    <row r="289" spans="1:13" x14ac:dyDescent="0.25">
      <c r="A289" s="12" t="s">
        <v>582</v>
      </c>
      <c r="B289" s="12" t="s">
        <v>583</v>
      </c>
      <c r="C289" s="6" t="e">
        <f>VLOOKUP(A289,'[1]PRECIOS NUEVOS'!$A:$C,3,0)</f>
        <v>#N/A</v>
      </c>
      <c r="D289" s="13">
        <v>2</v>
      </c>
      <c r="E289" s="12">
        <v>115.5</v>
      </c>
      <c r="F289" s="12">
        <v>175</v>
      </c>
      <c r="G289" s="11">
        <v>0.17</v>
      </c>
      <c r="H289" s="11">
        <v>0.12</v>
      </c>
      <c r="I289" s="8">
        <f t="shared" si="15"/>
        <v>148.995</v>
      </c>
      <c r="J289" s="10">
        <v>1.1499999999999999</v>
      </c>
      <c r="K289" s="9">
        <f t="shared" si="16"/>
        <v>171.34424999999999</v>
      </c>
      <c r="L289" s="11">
        <v>0.1</v>
      </c>
      <c r="M289" s="15">
        <f t="shared" si="17"/>
        <v>188.47867500000001</v>
      </c>
    </row>
    <row r="290" spans="1:13" x14ac:dyDescent="0.25">
      <c r="A290" s="12" t="s">
        <v>584</v>
      </c>
      <c r="B290" s="12" t="s">
        <v>585</v>
      </c>
      <c r="C290" s="6" t="str">
        <f>VLOOKUP(A290,'[1]PRECIOS NUEVOS'!$A:$C,3,0)</f>
        <v>kit de transformacion</v>
      </c>
      <c r="D290" s="13">
        <v>2</v>
      </c>
      <c r="E290" s="12">
        <v>66</v>
      </c>
      <c r="F290" s="12">
        <v>105</v>
      </c>
      <c r="G290" s="11">
        <v>0.17</v>
      </c>
      <c r="H290" s="11">
        <v>0.12</v>
      </c>
      <c r="I290" s="8">
        <f t="shared" si="15"/>
        <v>85.14</v>
      </c>
      <c r="J290" s="10">
        <v>1.1499999999999999</v>
      </c>
      <c r="K290" s="9">
        <f t="shared" si="16"/>
        <v>97.910999999999987</v>
      </c>
      <c r="L290" s="11">
        <v>0.1</v>
      </c>
      <c r="M290" s="15">
        <f t="shared" si="17"/>
        <v>107.7021</v>
      </c>
    </row>
    <row r="291" spans="1:13" x14ac:dyDescent="0.25">
      <c r="A291" s="12" t="s">
        <v>586</v>
      </c>
      <c r="B291" s="12" t="s">
        <v>587</v>
      </c>
      <c r="C291" s="6" t="e">
        <f>VLOOKUP(A291,'[1]PRECIOS NUEVOS'!$A:$C,3,0)</f>
        <v>#N/A</v>
      </c>
      <c r="D291" s="13">
        <v>1</v>
      </c>
      <c r="E291" s="12">
        <v>33</v>
      </c>
      <c r="F291" s="12">
        <v>57</v>
      </c>
      <c r="G291" s="11">
        <v>0.17</v>
      </c>
      <c r="H291" s="11">
        <v>0.12</v>
      </c>
      <c r="I291" s="8">
        <f t="shared" si="15"/>
        <v>42.57</v>
      </c>
      <c r="J291" s="10">
        <v>1.1499999999999999</v>
      </c>
      <c r="K291" s="9">
        <f t="shared" si="16"/>
        <v>48.955499999999994</v>
      </c>
      <c r="L291" s="11">
        <v>0.1</v>
      </c>
      <c r="M291" s="15">
        <f t="shared" si="17"/>
        <v>53.851050000000001</v>
      </c>
    </row>
    <row r="292" spans="1:13" x14ac:dyDescent="0.25">
      <c r="A292" s="12" t="s">
        <v>588</v>
      </c>
      <c r="B292" s="12" t="s">
        <v>589</v>
      </c>
      <c r="C292" s="6" t="e">
        <f>VLOOKUP(A292,'[1]PRECIOS NUEVOS'!$A:$C,3,0)</f>
        <v>#N/A</v>
      </c>
      <c r="D292" s="13">
        <v>1</v>
      </c>
      <c r="E292" s="12">
        <v>5.5</v>
      </c>
      <c r="F292" s="12">
        <v>10</v>
      </c>
      <c r="G292" s="11">
        <v>0.17</v>
      </c>
      <c r="H292" s="11">
        <v>0.12</v>
      </c>
      <c r="I292" s="8">
        <f t="shared" si="15"/>
        <v>7.0950000000000006</v>
      </c>
      <c r="J292" s="10">
        <v>1.1499999999999999</v>
      </c>
      <c r="K292" s="9">
        <f t="shared" si="16"/>
        <v>8.1592500000000001</v>
      </c>
      <c r="L292" s="11">
        <v>0.1</v>
      </c>
      <c r="M292" s="15">
        <f t="shared" si="17"/>
        <v>8.9751750000000001</v>
      </c>
    </row>
    <row r="293" spans="1:13" x14ac:dyDescent="0.25">
      <c r="A293" s="12" t="s">
        <v>590</v>
      </c>
      <c r="B293" s="12" t="s">
        <v>591</v>
      </c>
      <c r="C293" s="6" t="str">
        <f>VLOOKUP(A293,'[1]PRECIOS NUEVOS'!$A:$C,3,0)</f>
        <v>resorte verde</v>
      </c>
      <c r="D293" s="13">
        <v>2</v>
      </c>
      <c r="E293" s="12">
        <v>9.35</v>
      </c>
      <c r="F293" s="12">
        <v>17.2</v>
      </c>
      <c r="G293" s="11">
        <v>0.17</v>
      </c>
      <c r="H293" s="11">
        <v>0.12</v>
      </c>
      <c r="I293" s="8">
        <f t="shared" si="15"/>
        <v>12.061500000000001</v>
      </c>
      <c r="J293" s="10">
        <v>1.1499999999999999</v>
      </c>
      <c r="K293" s="9">
        <f t="shared" si="16"/>
        <v>13.870725</v>
      </c>
      <c r="L293" s="11">
        <v>0.1</v>
      </c>
      <c r="M293" s="15">
        <f t="shared" si="17"/>
        <v>15.257797500000001</v>
      </c>
    </row>
    <row r="294" spans="1:13" x14ac:dyDescent="0.25">
      <c r="A294" s="12" t="s">
        <v>592</v>
      </c>
      <c r="B294" s="12" t="s">
        <v>593</v>
      </c>
      <c r="C294" s="6" t="str">
        <f>VLOOKUP(A294,'[1]PRECIOS NUEVOS'!$A:$C,3,0)</f>
        <v>resorte anaranja</v>
      </c>
      <c r="D294" s="13">
        <v>2</v>
      </c>
      <c r="E294" s="12">
        <v>9.35</v>
      </c>
      <c r="F294" s="12">
        <v>17.2</v>
      </c>
      <c r="G294" s="11">
        <v>0.17</v>
      </c>
      <c r="H294" s="11">
        <v>0.12</v>
      </c>
      <c r="I294" s="8">
        <f t="shared" si="15"/>
        <v>12.061500000000001</v>
      </c>
      <c r="J294" s="10">
        <v>1.1499999999999999</v>
      </c>
      <c r="K294" s="9">
        <f t="shared" si="16"/>
        <v>13.870725</v>
      </c>
      <c r="L294" s="11">
        <v>0.1</v>
      </c>
      <c r="M294" s="15">
        <f t="shared" si="17"/>
        <v>15.257797500000001</v>
      </c>
    </row>
    <row r="295" spans="1:13" x14ac:dyDescent="0.25">
      <c r="A295" s="12" t="s">
        <v>594</v>
      </c>
      <c r="B295" s="12" t="s">
        <v>595</v>
      </c>
      <c r="C295" s="6" t="str">
        <f>VLOOKUP(A295,'[1]PRECIOS NUEVOS'!$A:$C,3,0)</f>
        <v>resorte azul</v>
      </c>
      <c r="D295" s="13">
        <v>2</v>
      </c>
      <c r="E295" s="12">
        <v>9.35</v>
      </c>
      <c r="F295" s="12">
        <v>17.2</v>
      </c>
      <c r="G295" s="11">
        <v>0.17</v>
      </c>
      <c r="H295" s="11">
        <v>0.12</v>
      </c>
      <c r="I295" s="8">
        <f t="shared" si="15"/>
        <v>12.061500000000001</v>
      </c>
      <c r="J295" s="10">
        <v>1.1499999999999999</v>
      </c>
      <c r="K295" s="9">
        <f t="shared" si="16"/>
        <v>13.870725</v>
      </c>
      <c r="L295" s="11">
        <v>0.1</v>
      </c>
      <c r="M295" s="15">
        <f t="shared" si="17"/>
        <v>15.257797500000001</v>
      </c>
    </row>
    <row r="296" spans="1:13" x14ac:dyDescent="0.25">
      <c r="A296" s="12" t="s">
        <v>596</v>
      </c>
      <c r="B296" s="12" t="s">
        <v>597</v>
      </c>
      <c r="C296" s="6" t="str">
        <f>VLOOKUP(A296,'[1]PRECIOS NUEVOS'!$A:$C,3,0)</f>
        <v>resorte rojo</v>
      </c>
      <c r="D296" s="13">
        <v>2</v>
      </c>
      <c r="E296" s="12">
        <v>9.35</v>
      </c>
      <c r="F296" s="12">
        <v>17.2</v>
      </c>
      <c r="G296" s="11">
        <v>0.17</v>
      </c>
      <c r="H296" s="11">
        <v>0.12</v>
      </c>
      <c r="I296" s="8">
        <f t="shared" si="15"/>
        <v>12.061500000000001</v>
      </c>
      <c r="J296" s="10">
        <v>1.1499999999999999</v>
      </c>
      <c r="K296" s="9">
        <f t="shared" si="16"/>
        <v>13.870725</v>
      </c>
      <c r="L296" s="11">
        <v>0.1</v>
      </c>
      <c r="M296" s="15">
        <f t="shared" si="17"/>
        <v>15.257797500000001</v>
      </c>
    </row>
    <row r="297" spans="1:13" x14ac:dyDescent="0.25">
      <c r="A297" s="12" t="s">
        <v>598</v>
      </c>
      <c r="B297" s="12" t="s">
        <v>599</v>
      </c>
      <c r="C297" s="6" t="str">
        <f>VLOOKUP(A297,'[1]PRECIOS NUEVOS'!$A:$C,3,0)</f>
        <v>resorte amarillo</v>
      </c>
      <c r="D297" s="13">
        <v>2</v>
      </c>
      <c r="E297" s="12">
        <v>9.35</v>
      </c>
      <c r="F297" s="12">
        <v>17.2</v>
      </c>
      <c r="G297" s="11">
        <v>0.17</v>
      </c>
      <c r="H297" s="11">
        <v>0.12</v>
      </c>
      <c r="I297" s="8">
        <f t="shared" si="15"/>
        <v>12.061500000000001</v>
      </c>
      <c r="J297" s="10">
        <v>1.1499999999999999</v>
      </c>
      <c r="K297" s="9">
        <f t="shared" si="16"/>
        <v>13.870725</v>
      </c>
      <c r="L297" s="11">
        <v>0.1</v>
      </c>
      <c r="M297" s="15">
        <f t="shared" si="17"/>
        <v>15.257797500000001</v>
      </c>
    </row>
    <row r="298" spans="1:13" x14ac:dyDescent="0.25">
      <c r="A298" s="12" t="s">
        <v>600</v>
      </c>
      <c r="B298" s="12" t="s">
        <v>601</v>
      </c>
      <c r="C298" s="6" t="e">
        <f>VLOOKUP(A298,'[1]PRECIOS NUEVOS'!$A:$C,3,0)</f>
        <v>#N/A</v>
      </c>
      <c r="D298" s="13">
        <v>6</v>
      </c>
      <c r="E298" s="12">
        <v>27.5</v>
      </c>
      <c r="F298" s="12">
        <v>47.85</v>
      </c>
      <c r="G298" s="11">
        <v>0.17</v>
      </c>
      <c r="H298" s="11">
        <v>0.12</v>
      </c>
      <c r="I298" s="8">
        <f t="shared" si="15"/>
        <v>35.475000000000001</v>
      </c>
      <c r="J298" s="10">
        <v>1.1499999999999999</v>
      </c>
      <c r="K298" s="9">
        <f t="shared" si="16"/>
        <v>40.796250000000001</v>
      </c>
      <c r="L298" s="11">
        <v>0.1</v>
      </c>
      <c r="M298" s="15">
        <f t="shared" si="17"/>
        <v>44.875875000000008</v>
      </c>
    </row>
    <row r="299" spans="1:13" x14ac:dyDescent="0.25">
      <c r="A299" s="12" t="s">
        <v>602</v>
      </c>
      <c r="B299" s="12" t="s">
        <v>603</v>
      </c>
      <c r="C299" s="6" t="e">
        <f>VLOOKUP(A299,'[1]PRECIOS NUEVOS'!$A:$C,3,0)</f>
        <v>#N/A</v>
      </c>
      <c r="D299" s="13">
        <v>1</v>
      </c>
      <c r="E299" s="12">
        <v>5.5</v>
      </c>
      <c r="F299" s="12">
        <v>10</v>
      </c>
      <c r="G299" s="11">
        <v>0.17</v>
      </c>
      <c r="H299" s="11">
        <v>0.12</v>
      </c>
      <c r="I299" s="8">
        <f t="shared" si="15"/>
        <v>7.0950000000000006</v>
      </c>
      <c r="J299" s="10">
        <v>1.1499999999999999</v>
      </c>
      <c r="K299" s="9">
        <f t="shared" si="16"/>
        <v>8.1592500000000001</v>
      </c>
      <c r="L299" s="11">
        <v>0.1</v>
      </c>
      <c r="M299" s="15">
        <f t="shared" si="17"/>
        <v>8.9751750000000001</v>
      </c>
    </row>
    <row r="300" spans="1:13" x14ac:dyDescent="0.25">
      <c r="A300" s="12" t="s">
        <v>604</v>
      </c>
      <c r="B300" s="12" t="s">
        <v>603</v>
      </c>
      <c r="C300" s="6" t="e">
        <f>VLOOKUP(A300,'[1]PRECIOS NUEVOS'!$A:$C,3,0)</f>
        <v>#N/A</v>
      </c>
      <c r="D300" s="13">
        <v>1</v>
      </c>
      <c r="E300" s="12">
        <v>5.5</v>
      </c>
      <c r="F300" s="12">
        <v>10</v>
      </c>
      <c r="G300" s="11">
        <v>0.17</v>
      </c>
      <c r="H300" s="11">
        <v>0.12</v>
      </c>
      <c r="I300" s="8">
        <f t="shared" si="15"/>
        <v>7.0950000000000006</v>
      </c>
      <c r="J300" s="10">
        <v>1.1499999999999999</v>
      </c>
      <c r="K300" s="9">
        <f t="shared" si="16"/>
        <v>8.1592500000000001</v>
      </c>
      <c r="L300" s="11">
        <v>0.1</v>
      </c>
      <c r="M300" s="15">
        <f t="shared" si="17"/>
        <v>8.9751750000000001</v>
      </c>
    </row>
    <row r="301" spans="1:13" x14ac:dyDescent="0.25">
      <c r="A301" s="12" t="s">
        <v>605</v>
      </c>
      <c r="B301" s="12" t="s">
        <v>603</v>
      </c>
      <c r="C301" s="6" t="e">
        <f>VLOOKUP(A301,'[1]PRECIOS NUEVOS'!$A:$C,3,0)</f>
        <v>#N/A</v>
      </c>
      <c r="D301" s="13">
        <v>1</v>
      </c>
      <c r="E301" s="12">
        <v>5.5</v>
      </c>
      <c r="F301" s="12">
        <v>10</v>
      </c>
      <c r="G301" s="11">
        <v>0.17</v>
      </c>
      <c r="H301" s="11">
        <v>0.12</v>
      </c>
      <c r="I301" s="8">
        <f t="shared" si="15"/>
        <v>7.0950000000000006</v>
      </c>
      <c r="J301" s="10">
        <v>1.1499999999999999</v>
      </c>
      <c r="K301" s="9">
        <f t="shared" si="16"/>
        <v>8.1592500000000001</v>
      </c>
      <c r="L301" s="11">
        <v>0.1</v>
      </c>
      <c r="M301" s="15">
        <f t="shared" si="17"/>
        <v>8.9751750000000001</v>
      </c>
    </row>
    <row r="302" spans="1:13" x14ac:dyDescent="0.25">
      <c r="A302" s="12" t="s">
        <v>606</v>
      </c>
      <c r="B302" s="12" t="s">
        <v>631</v>
      </c>
      <c r="C302" s="6" t="e">
        <f>VLOOKUP(A302,'[1]PRECIOS NUEVOS'!$A:$C,3,0)</f>
        <v>#N/A</v>
      </c>
      <c r="D302" s="12">
        <v>1</v>
      </c>
      <c r="E302" s="12">
        <v>5.5</v>
      </c>
      <c r="F302" s="12">
        <v>10</v>
      </c>
      <c r="G302" s="11">
        <v>0.17</v>
      </c>
      <c r="H302" s="11">
        <v>0.12</v>
      </c>
      <c r="I302" s="8">
        <f t="shared" si="15"/>
        <v>7.0950000000000006</v>
      </c>
      <c r="J302" s="10">
        <v>1.1499999999999999</v>
      </c>
      <c r="K302" s="9">
        <f t="shared" si="16"/>
        <v>8.1592500000000001</v>
      </c>
      <c r="L302" s="11">
        <v>0.1</v>
      </c>
      <c r="M302" s="15">
        <f t="shared" si="17"/>
        <v>8.9751750000000001</v>
      </c>
    </row>
    <row r="303" spans="1:13" x14ac:dyDescent="0.25">
      <c r="A303" s="12" t="s">
        <v>607</v>
      </c>
      <c r="B303" s="12" t="s">
        <v>632</v>
      </c>
      <c r="C303" s="6" t="str">
        <f>VLOOKUP(A303,'[1]PRECIOS NUEVOS'!$A:$C,3,0)</f>
        <v>resorte blanco</v>
      </c>
      <c r="D303" s="12">
        <v>2</v>
      </c>
      <c r="E303" s="12">
        <v>9.35</v>
      </c>
      <c r="F303" s="12">
        <v>17.2</v>
      </c>
      <c r="G303" s="11">
        <v>0.17</v>
      </c>
      <c r="H303" s="11">
        <v>0.12</v>
      </c>
      <c r="I303" s="8">
        <f t="shared" si="15"/>
        <v>12.061500000000001</v>
      </c>
      <c r="J303" s="10">
        <v>1.1499999999999999</v>
      </c>
      <c r="K303" s="9">
        <f t="shared" si="16"/>
        <v>13.870725</v>
      </c>
      <c r="L303" s="11">
        <v>0.1</v>
      </c>
      <c r="M303" s="15">
        <f t="shared" si="17"/>
        <v>15.257797500000001</v>
      </c>
    </row>
    <row r="304" spans="1:13" x14ac:dyDescent="0.25">
      <c r="A304" s="12" t="s">
        <v>608</v>
      </c>
      <c r="B304" s="12" t="s">
        <v>633</v>
      </c>
      <c r="C304" s="6" t="str">
        <f>VLOOKUP(A304,'[1]PRECIOS NUEVOS'!$A:$C,3,0)</f>
        <v>resorte gris</v>
      </c>
      <c r="D304" s="12">
        <v>2</v>
      </c>
      <c r="E304" s="12">
        <v>9.35</v>
      </c>
      <c r="F304" s="12">
        <v>17.2</v>
      </c>
      <c r="G304" s="11">
        <v>0.17</v>
      </c>
      <c r="H304" s="11">
        <v>0.12</v>
      </c>
      <c r="I304" s="8">
        <f t="shared" si="15"/>
        <v>12.061500000000001</v>
      </c>
      <c r="J304" s="10">
        <v>1.1499999999999999</v>
      </c>
      <c r="K304" s="9">
        <f t="shared" si="16"/>
        <v>13.870725</v>
      </c>
      <c r="L304" s="11">
        <v>0.1</v>
      </c>
      <c r="M304" s="15">
        <f t="shared" si="17"/>
        <v>15.257797500000001</v>
      </c>
    </row>
    <row r="305" spans="1:13" x14ac:dyDescent="0.25">
      <c r="A305" s="12" t="s">
        <v>609</v>
      </c>
      <c r="B305" s="12" t="s">
        <v>634</v>
      </c>
      <c r="C305" s="6" t="str">
        <f>VLOOKUP(A305,'[1]PRECIOS NUEVOS'!$A:$C,3,0)</f>
        <v>resorte negro</v>
      </c>
      <c r="D305" s="12">
        <v>2</v>
      </c>
      <c r="E305" s="12">
        <v>9.35</v>
      </c>
      <c r="F305" s="12">
        <v>17.2</v>
      </c>
      <c r="G305" s="11">
        <v>0.17</v>
      </c>
      <c r="H305" s="11">
        <v>0.12</v>
      </c>
      <c r="I305" s="8">
        <f t="shared" si="15"/>
        <v>12.061500000000001</v>
      </c>
      <c r="J305" s="10">
        <v>1.1499999999999999</v>
      </c>
      <c r="K305" s="9">
        <f t="shared" si="16"/>
        <v>13.870725</v>
      </c>
      <c r="L305" s="11">
        <v>0.1</v>
      </c>
      <c r="M305" s="15">
        <f t="shared" si="17"/>
        <v>15.257797500000001</v>
      </c>
    </row>
    <row r="306" spans="1:13" x14ac:dyDescent="0.25">
      <c r="A306" s="12" t="s">
        <v>610</v>
      </c>
      <c r="B306" s="12"/>
      <c r="C306" s="6" t="e">
        <f>VLOOKUP(A306,'[1]PRECIOS NUEVOS'!$A:$C,3,0)</f>
        <v>#N/A</v>
      </c>
      <c r="D306" s="12">
        <v>1</v>
      </c>
      <c r="E306" s="12">
        <v>53</v>
      </c>
      <c r="F306" s="12">
        <v>92</v>
      </c>
      <c r="G306" s="11">
        <v>0.17</v>
      </c>
      <c r="H306" s="11">
        <v>0.12</v>
      </c>
      <c r="I306" s="8">
        <f t="shared" si="15"/>
        <v>68.37</v>
      </c>
      <c r="J306" s="10">
        <v>1.1499999999999999</v>
      </c>
      <c r="K306" s="9">
        <f t="shared" si="16"/>
        <v>78.625500000000002</v>
      </c>
      <c r="L306" s="11">
        <v>0.1</v>
      </c>
      <c r="M306" s="15">
        <f t="shared" si="17"/>
        <v>86.488050000000015</v>
      </c>
    </row>
    <row r="307" spans="1:13" ht="30" x14ac:dyDescent="0.25">
      <c r="A307" s="12" t="s">
        <v>611</v>
      </c>
      <c r="B307" s="12"/>
      <c r="C307" s="6" t="str">
        <f>VLOOKUP(A307,'[1]PRECIOS NUEVOS'!$A:$C,3,0)</f>
        <v>bujes de amortiguador para montaje</v>
      </c>
      <c r="D307" s="12">
        <v>4</v>
      </c>
      <c r="E307" s="12">
        <v>3.2</v>
      </c>
      <c r="F307" s="12">
        <v>5.9</v>
      </c>
      <c r="G307" s="11">
        <v>0.17</v>
      </c>
      <c r="H307" s="11">
        <v>0.12</v>
      </c>
      <c r="I307" s="8">
        <f t="shared" si="15"/>
        <v>4.1280000000000001</v>
      </c>
      <c r="J307" s="10">
        <v>1.1499999999999999</v>
      </c>
      <c r="K307" s="9">
        <f t="shared" si="16"/>
        <v>4.7471999999999994</v>
      </c>
      <c r="L307" s="11">
        <v>0.1</v>
      </c>
      <c r="M307" s="15">
        <f t="shared" si="17"/>
        <v>5.2219199999999999</v>
      </c>
    </row>
    <row r="308" spans="1:13" x14ac:dyDescent="0.25">
      <c r="A308" s="12" t="s">
        <v>612</v>
      </c>
      <c r="B308" s="12"/>
      <c r="C308" s="6" t="str">
        <f>VLOOKUP(A308,'[1]PRECIOS NUEVOS'!$A:$C,3,0)</f>
        <v>tornillos para cargar</v>
      </c>
      <c r="D308" s="12">
        <v>4</v>
      </c>
      <c r="E308" s="12">
        <v>4.2</v>
      </c>
      <c r="F308" s="12">
        <v>7.7</v>
      </c>
      <c r="G308" s="11">
        <v>0.17</v>
      </c>
      <c r="H308" s="11">
        <v>0.12</v>
      </c>
      <c r="I308" s="8">
        <f t="shared" si="15"/>
        <v>5.4180000000000001</v>
      </c>
      <c r="J308" s="10">
        <v>1.1499999999999999</v>
      </c>
      <c r="K308" s="9">
        <f t="shared" si="16"/>
        <v>6.2306999999999997</v>
      </c>
      <c r="L308" s="11">
        <v>0.1</v>
      </c>
      <c r="M308" s="15">
        <f t="shared" si="17"/>
        <v>6.8537699999999999</v>
      </c>
    </row>
    <row r="309" spans="1:13" x14ac:dyDescent="0.25">
      <c r="A309" s="12" t="s">
        <v>613</v>
      </c>
      <c r="B309" s="12"/>
      <c r="C309" s="6">
        <f>VLOOKUP(A309,'[1]PRECIOS NUEVOS'!$A:$C,3,0)</f>
        <v>0</v>
      </c>
      <c r="D309" s="12">
        <v>4</v>
      </c>
      <c r="E309" s="12">
        <v>1.55</v>
      </c>
      <c r="F309" s="12">
        <v>2.85</v>
      </c>
      <c r="G309" s="11">
        <v>0.17</v>
      </c>
      <c r="H309" s="11">
        <v>0.12</v>
      </c>
      <c r="I309" s="8">
        <f t="shared" si="15"/>
        <v>1.9995000000000001</v>
      </c>
      <c r="J309" s="10">
        <v>1.1499999999999999</v>
      </c>
      <c r="K309" s="9">
        <f t="shared" si="16"/>
        <v>2.2994249999999998</v>
      </c>
      <c r="L309" s="11">
        <v>0.1</v>
      </c>
      <c r="M309" s="15">
        <f t="shared" si="17"/>
        <v>2.5293675000000002</v>
      </c>
    </row>
    <row r="310" spans="1:13" x14ac:dyDescent="0.25">
      <c r="A310" s="12" t="s">
        <v>614</v>
      </c>
      <c r="B310" s="12"/>
      <c r="C310" s="6">
        <f>VLOOKUP(A310,'[1]PRECIOS NUEVOS'!$A:$C,3,0)</f>
        <v>0</v>
      </c>
      <c r="D310" s="12">
        <v>1</v>
      </c>
      <c r="E310" s="12">
        <v>5.8</v>
      </c>
      <c r="F310" s="12">
        <v>10.5</v>
      </c>
      <c r="G310" s="11">
        <v>0.17</v>
      </c>
      <c r="H310" s="11">
        <v>0.12</v>
      </c>
      <c r="I310" s="8">
        <f t="shared" si="15"/>
        <v>7.4820000000000002</v>
      </c>
      <c r="J310" s="10">
        <v>1.1499999999999999</v>
      </c>
      <c r="K310" s="9">
        <f t="shared" si="16"/>
        <v>8.6043000000000003</v>
      </c>
      <c r="L310" s="11">
        <v>0.1</v>
      </c>
      <c r="M310" s="15">
        <f t="shared" si="17"/>
        <v>9.4647300000000012</v>
      </c>
    </row>
    <row r="311" spans="1:13" x14ac:dyDescent="0.25">
      <c r="A311" s="12" t="s">
        <v>615</v>
      </c>
      <c r="B311" s="12"/>
      <c r="C311" s="6">
        <f>VLOOKUP(A311,'[1]PRECIOS NUEVOS'!$A:$C,3,0)</f>
        <v>0</v>
      </c>
      <c r="D311" s="12">
        <v>4</v>
      </c>
      <c r="E311" s="12">
        <v>2.1</v>
      </c>
      <c r="F311" s="12">
        <v>3.85</v>
      </c>
      <c r="G311" s="11">
        <v>0.17</v>
      </c>
      <c r="H311" s="11">
        <v>0.12</v>
      </c>
      <c r="I311" s="8">
        <f t="shared" si="15"/>
        <v>2.7090000000000001</v>
      </c>
      <c r="J311" s="10">
        <v>1.1499999999999999</v>
      </c>
      <c r="K311" s="9">
        <f t="shared" si="16"/>
        <v>3.1153499999999998</v>
      </c>
      <c r="L311" s="11">
        <v>0.1</v>
      </c>
      <c r="M311" s="15">
        <f t="shared" si="17"/>
        <v>3.426885</v>
      </c>
    </row>
    <row r="312" spans="1:13" x14ac:dyDescent="0.25">
      <c r="A312" s="12" t="s">
        <v>616</v>
      </c>
      <c r="B312" s="12"/>
      <c r="C312" s="6">
        <f>VLOOKUP(A312,'[1]PRECIOS NUEVOS'!$A:$C,3,0)</f>
        <v>0</v>
      </c>
      <c r="D312" s="12">
        <v>4</v>
      </c>
      <c r="E312" s="12">
        <v>1.45</v>
      </c>
      <c r="F312" s="12">
        <v>2.7</v>
      </c>
      <c r="G312" s="11">
        <v>0.17</v>
      </c>
      <c r="H312" s="11">
        <v>0.12</v>
      </c>
      <c r="I312" s="8">
        <f t="shared" si="15"/>
        <v>1.8705000000000001</v>
      </c>
      <c r="J312" s="10">
        <v>1.1499999999999999</v>
      </c>
      <c r="K312" s="9">
        <f t="shared" si="16"/>
        <v>2.1510750000000001</v>
      </c>
      <c r="L312" s="11">
        <v>0.1</v>
      </c>
      <c r="M312" s="15">
        <f t="shared" si="17"/>
        <v>2.3661825000000003</v>
      </c>
    </row>
    <row r="313" spans="1:13" x14ac:dyDescent="0.25">
      <c r="A313" s="12" t="s">
        <v>617</v>
      </c>
      <c r="B313" s="12"/>
      <c r="C313" s="6" t="str">
        <f>VLOOKUP(A313,'[1]PRECIOS NUEVOS'!$A:$C,3,0)</f>
        <v>piston plastico de compensacion</v>
      </c>
      <c r="D313" s="12">
        <v>1</v>
      </c>
      <c r="E313" s="12">
        <v>2.2999999999999998</v>
      </c>
      <c r="F313" s="12">
        <v>4.2</v>
      </c>
      <c r="G313" s="11">
        <v>0.17</v>
      </c>
      <c r="H313" s="11">
        <v>0.12</v>
      </c>
      <c r="I313" s="8">
        <f t="shared" si="15"/>
        <v>2.9669999999999996</v>
      </c>
      <c r="J313" s="10">
        <v>1.1499999999999999</v>
      </c>
      <c r="K313" s="9">
        <f t="shared" si="16"/>
        <v>3.4120499999999994</v>
      </c>
      <c r="L313" s="11">
        <v>0.1</v>
      </c>
      <c r="M313" s="15">
        <f t="shared" si="17"/>
        <v>3.7532549999999998</v>
      </c>
    </row>
    <row r="314" spans="1:13" x14ac:dyDescent="0.25">
      <c r="A314" s="12" t="s">
        <v>618</v>
      </c>
      <c r="B314" s="12"/>
      <c r="C314" s="6" t="str">
        <f>VLOOKUP(A314,'[1]PRECIOS NUEVOS'!$A:$C,3,0)</f>
        <v>valvula interna de compensacion</v>
      </c>
      <c r="D314" s="12">
        <v>1</v>
      </c>
      <c r="E314" s="12">
        <v>4</v>
      </c>
      <c r="F314" s="12">
        <v>7.35</v>
      </c>
      <c r="G314" s="11">
        <v>0.17</v>
      </c>
      <c r="H314" s="11">
        <v>0.12</v>
      </c>
      <c r="I314" s="8">
        <f t="shared" si="15"/>
        <v>5.16</v>
      </c>
      <c r="J314" s="10">
        <v>1.1499999999999999</v>
      </c>
      <c r="K314" s="9">
        <f t="shared" si="16"/>
        <v>5.9339999999999993</v>
      </c>
      <c r="L314" s="11">
        <v>0.1</v>
      </c>
      <c r="M314" s="15">
        <f t="shared" si="17"/>
        <v>6.5274000000000001</v>
      </c>
    </row>
    <row r="315" spans="1:13" x14ac:dyDescent="0.25">
      <c r="A315" s="12" t="s">
        <v>619</v>
      </c>
      <c r="B315" s="12"/>
      <c r="C315" s="6" t="str">
        <f>VLOOKUP(A315,'[1]PRECIOS NUEVOS'!$A:$C,3,0)</f>
        <v>resorte interno de compensacion</v>
      </c>
      <c r="D315" s="12">
        <v>2</v>
      </c>
      <c r="E315" s="12">
        <v>1.2</v>
      </c>
      <c r="F315" s="12">
        <v>2.2000000000000002</v>
      </c>
      <c r="G315" s="11">
        <v>0.17</v>
      </c>
      <c r="H315" s="11">
        <v>0.12</v>
      </c>
      <c r="I315" s="8">
        <f t="shared" si="15"/>
        <v>1.548</v>
      </c>
      <c r="J315" s="10">
        <v>1.1499999999999999</v>
      </c>
      <c r="K315" s="9">
        <f t="shared" si="16"/>
        <v>1.7802</v>
      </c>
      <c r="L315" s="11">
        <v>0.1</v>
      </c>
      <c r="M315" s="15">
        <f t="shared" si="17"/>
        <v>1.9582200000000001</v>
      </c>
    </row>
    <row r="316" spans="1:13" x14ac:dyDescent="0.25">
      <c r="A316" s="12" t="s">
        <v>620</v>
      </c>
      <c r="B316" s="12"/>
      <c r="C316" s="6" t="str">
        <f>VLOOKUP(A316,'[1]PRECIOS NUEVOS'!$A:$C,3,0)</f>
        <v>oring de 2do cuerpo</v>
      </c>
      <c r="D316" s="12">
        <v>2</v>
      </c>
      <c r="E316" s="12">
        <v>1.45</v>
      </c>
      <c r="F316" s="12">
        <v>2.7</v>
      </c>
      <c r="G316" s="11">
        <v>0.17</v>
      </c>
      <c r="H316" s="11">
        <v>0.12</v>
      </c>
      <c r="I316" s="8">
        <f t="shared" si="15"/>
        <v>1.8705000000000001</v>
      </c>
      <c r="J316" s="10">
        <v>1.1499999999999999</v>
      </c>
      <c r="K316" s="9">
        <f t="shared" si="16"/>
        <v>2.1510750000000001</v>
      </c>
      <c r="L316" s="11">
        <v>0.1</v>
      </c>
      <c r="M316" s="15">
        <f t="shared" si="17"/>
        <v>2.3661825000000003</v>
      </c>
    </row>
    <row r="317" spans="1:13" x14ac:dyDescent="0.25">
      <c r="A317" s="12" t="s">
        <v>621</v>
      </c>
      <c r="B317" s="12"/>
      <c r="C317" s="6" t="str">
        <f>VLOOKUP(A317,'[1]PRECIOS NUEVOS'!$A:$C,3,0)</f>
        <v>cuerpo de compensacion</v>
      </c>
      <c r="D317" s="12">
        <v>1</v>
      </c>
      <c r="E317" s="12">
        <v>8</v>
      </c>
      <c r="F317" s="12">
        <v>14.7</v>
      </c>
      <c r="G317" s="11">
        <v>0.17</v>
      </c>
      <c r="H317" s="11">
        <v>0.12</v>
      </c>
      <c r="I317" s="8">
        <f t="shared" si="15"/>
        <v>10.32</v>
      </c>
      <c r="J317" s="10">
        <v>1.1499999999999999</v>
      </c>
      <c r="K317" s="9">
        <f t="shared" si="16"/>
        <v>11.867999999999999</v>
      </c>
      <c r="L317" s="11">
        <v>0.1</v>
      </c>
      <c r="M317" s="15">
        <f t="shared" si="17"/>
        <v>13.0548</v>
      </c>
    </row>
    <row r="318" spans="1:13" x14ac:dyDescent="0.25">
      <c r="A318" s="12" t="s">
        <v>622</v>
      </c>
      <c r="B318" s="12"/>
      <c r="C318" s="6">
        <f>VLOOKUP(A318,'[1]PRECIOS NUEVOS'!$A:$C,3,0)</f>
        <v>0</v>
      </c>
      <c r="D318" s="12">
        <v>1</v>
      </c>
      <c r="E318" s="12">
        <v>18.149999999999999</v>
      </c>
      <c r="F318" s="12">
        <v>31.5</v>
      </c>
      <c r="G318" s="11">
        <v>0.17</v>
      </c>
      <c r="H318" s="11">
        <v>0.12</v>
      </c>
      <c r="I318" s="8">
        <f t="shared" si="15"/>
        <v>23.413499999999999</v>
      </c>
      <c r="J318" s="10">
        <v>1.1499999999999999</v>
      </c>
      <c r="K318" s="9">
        <f t="shared" si="16"/>
        <v>26.925524999999997</v>
      </c>
      <c r="L318" s="11">
        <v>0.1</v>
      </c>
      <c r="M318" s="15">
        <f t="shared" si="17"/>
        <v>29.618077499999998</v>
      </c>
    </row>
    <row r="319" spans="1:13" x14ac:dyDescent="0.25">
      <c r="A319" s="12" t="s">
        <v>623</v>
      </c>
      <c r="B319" s="12"/>
      <c r="C319" s="6" t="str">
        <f>VLOOKUP(A319,'[1]PRECIOS NUEVOS'!$A:$C,3,0)</f>
        <v>oring de rosca de compresion</v>
      </c>
      <c r="D319" s="12">
        <v>2</v>
      </c>
      <c r="E319" s="12">
        <v>1.65</v>
      </c>
      <c r="F319" s="12">
        <v>3</v>
      </c>
      <c r="G319" s="11">
        <v>0.17</v>
      </c>
      <c r="H319" s="11">
        <v>0.12</v>
      </c>
      <c r="I319" s="8">
        <f t="shared" si="15"/>
        <v>2.1284999999999998</v>
      </c>
      <c r="J319" s="10">
        <v>1.1499999999999999</v>
      </c>
      <c r="K319" s="9">
        <f t="shared" si="16"/>
        <v>2.4477749999999996</v>
      </c>
      <c r="L319" s="11">
        <v>0.1</v>
      </c>
      <c r="M319" s="15">
        <f t="shared" si="17"/>
        <v>2.6925524999999997</v>
      </c>
    </row>
    <row r="320" spans="1:13" x14ac:dyDescent="0.25">
      <c r="A320" s="12" t="s">
        <v>624</v>
      </c>
      <c r="B320" s="12"/>
      <c r="C320" s="6" t="str">
        <f>VLOOKUP(A320,'[1]PRECIOS NUEVOS'!$A:$C,3,0)</f>
        <v>rosca de compresion espiral</v>
      </c>
      <c r="D320" s="12">
        <v>1</v>
      </c>
      <c r="E320" s="12">
        <v>4.4000000000000004</v>
      </c>
      <c r="F320" s="12">
        <v>8</v>
      </c>
      <c r="G320" s="11">
        <v>0.17</v>
      </c>
      <c r="H320" s="11">
        <v>0.12</v>
      </c>
      <c r="I320" s="8">
        <f t="shared" si="15"/>
        <v>5.676000000000001</v>
      </c>
      <c r="J320" s="10">
        <v>1.1499999999999999</v>
      </c>
      <c r="K320" s="9">
        <f t="shared" si="16"/>
        <v>6.527400000000001</v>
      </c>
      <c r="L320" s="11">
        <v>0.1</v>
      </c>
      <c r="M320" s="15">
        <f t="shared" si="17"/>
        <v>7.1801400000000015</v>
      </c>
    </row>
    <row r="321" spans="1:13" x14ac:dyDescent="0.25">
      <c r="A321" s="12" t="s">
        <v>625</v>
      </c>
      <c r="B321" s="12"/>
      <c r="C321" s="6">
        <f>VLOOKUP(A321,'[1]PRECIOS NUEVOS'!$A:$C,3,0)</f>
        <v>0</v>
      </c>
      <c r="D321" s="12">
        <v>2</v>
      </c>
      <c r="E321" s="12">
        <v>1.65</v>
      </c>
      <c r="F321" s="12">
        <v>3</v>
      </c>
      <c r="G321" s="11">
        <v>0.17</v>
      </c>
      <c r="H321" s="11">
        <v>0.12</v>
      </c>
      <c r="I321" s="8">
        <f t="shared" si="15"/>
        <v>2.1284999999999998</v>
      </c>
      <c r="J321" s="10">
        <v>1.1499999999999999</v>
      </c>
      <c r="K321" s="9">
        <f t="shared" si="16"/>
        <v>2.4477749999999996</v>
      </c>
      <c r="L321" s="11">
        <v>0.1</v>
      </c>
      <c r="M321" s="15">
        <f t="shared" si="17"/>
        <v>2.6925524999999997</v>
      </c>
    </row>
    <row r="322" spans="1:13" x14ac:dyDescent="0.25">
      <c r="A322" s="12" t="s">
        <v>626</v>
      </c>
      <c r="B322" s="12"/>
      <c r="C322" s="6">
        <f>VLOOKUP(A322,'[1]PRECIOS NUEVOS'!$A:$C,3,0)</f>
        <v>0</v>
      </c>
      <c r="D322" s="12">
        <v>1</v>
      </c>
      <c r="E322" s="12">
        <v>5.5</v>
      </c>
      <c r="F322" s="12">
        <v>10</v>
      </c>
      <c r="G322" s="11">
        <v>0.17</v>
      </c>
      <c r="H322" s="11">
        <v>0.12</v>
      </c>
      <c r="I322" s="8">
        <f t="shared" si="15"/>
        <v>7.0950000000000006</v>
      </c>
      <c r="J322" s="10">
        <v>1.1499999999999999</v>
      </c>
      <c r="K322" s="9">
        <f t="shared" si="16"/>
        <v>8.1592500000000001</v>
      </c>
      <c r="L322" s="11">
        <v>0.1</v>
      </c>
      <c r="M322" s="15">
        <f t="shared" si="17"/>
        <v>8.9751750000000001</v>
      </c>
    </row>
    <row r="323" spans="1:13" ht="30" x14ac:dyDescent="0.25">
      <c r="A323" s="12" t="s">
        <v>627</v>
      </c>
      <c r="B323" s="12" t="s">
        <v>635</v>
      </c>
      <c r="C323" s="6" t="str">
        <f>VLOOKUP(A323,'[1]PRECIOS NUEVOS'!$A:$C,3,0)</f>
        <v>cuerpo ingerior con oring completo</v>
      </c>
      <c r="D323" s="12">
        <v>1</v>
      </c>
      <c r="E323" s="12">
        <v>21</v>
      </c>
      <c r="F323" s="12">
        <v>36.5</v>
      </c>
      <c r="G323" s="11">
        <v>0.17</v>
      </c>
      <c r="H323" s="11">
        <v>0.12</v>
      </c>
      <c r="I323" s="8">
        <f t="shared" si="15"/>
        <v>27.09</v>
      </c>
      <c r="J323" s="10">
        <v>1.1499999999999999</v>
      </c>
      <c r="K323" s="9">
        <f t="shared" si="16"/>
        <v>31.153499999999998</v>
      </c>
      <c r="L323" s="11">
        <v>0.1</v>
      </c>
      <c r="M323" s="15">
        <f t="shared" si="17"/>
        <v>34.26885</v>
      </c>
    </row>
    <row r="324" spans="1:13" x14ac:dyDescent="0.25">
      <c r="A324" s="12" t="s">
        <v>628</v>
      </c>
      <c r="B324" s="12"/>
      <c r="C324" s="6" t="str">
        <f>VLOOKUP(A324,'[1]PRECIOS NUEVOS'!$A:$C,3,0)</f>
        <v>oring de cuerpo inferior</v>
      </c>
      <c r="D324" s="12">
        <v>2</v>
      </c>
      <c r="E324" s="12">
        <v>1.65</v>
      </c>
      <c r="F324" s="12">
        <v>3</v>
      </c>
      <c r="G324" s="11">
        <v>0.17</v>
      </c>
      <c r="H324" s="11">
        <v>0.12</v>
      </c>
      <c r="I324" s="8">
        <f t="shared" si="15"/>
        <v>2.1284999999999998</v>
      </c>
      <c r="J324" s="10">
        <v>1.1499999999999999</v>
      </c>
      <c r="K324" s="9">
        <f t="shared" si="16"/>
        <v>2.4477749999999996</v>
      </c>
      <c r="L324" s="11">
        <v>0.1</v>
      </c>
      <c r="M324" s="15">
        <f t="shared" si="17"/>
        <v>2.6925524999999997</v>
      </c>
    </row>
    <row r="325" spans="1:13" ht="30" x14ac:dyDescent="0.25">
      <c r="A325" s="12" t="s">
        <v>629</v>
      </c>
      <c r="B325" s="12"/>
      <c r="C325" s="6" t="str">
        <f>VLOOKUP(A325,'[1]PRECIOS NUEVOS'!$A:$C,3,0)</f>
        <v>oring pequeños de cuerpo inferior (rojos)</v>
      </c>
      <c r="D325" s="12">
        <v>2</v>
      </c>
      <c r="E325" s="12">
        <v>1.4</v>
      </c>
      <c r="F325" s="12">
        <v>2.6</v>
      </c>
      <c r="G325" s="11">
        <v>0.17</v>
      </c>
      <c r="H325" s="11">
        <v>0.12</v>
      </c>
      <c r="I325" s="8">
        <f t="shared" si="15"/>
        <v>1.8059999999999998</v>
      </c>
      <c r="J325" s="10">
        <v>1.1499999999999999</v>
      </c>
      <c r="K325" s="9">
        <f t="shared" si="16"/>
        <v>2.0768999999999997</v>
      </c>
      <c r="L325" s="11">
        <v>0.1</v>
      </c>
      <c r="M325" s="15">
        <f t="shared" si="17"/>
        <v>2.2845900000000001</v>
      </c>
    </row>
    <row r="326" spans="1:13" x14ac:dyDescent="0.25">
      <c r="A326" s="12" t="s">
        <v>630</v>
      </c>
      <c r="B326" s="12"/>
      <c r="C326" s="6">
        <f>VLOOKUP(A326,'[1]PRECIOS NUEVOS'!$A:$C,3,0)</f>
        <v>0</v>
      </c>
      <c r="D326" s="12">
        <v>1</v>
      </c>
      <c r="E326" s="12">
        <v>8.25</v>
      </c>
      <c r="F326" s="12">
        <v>15.2</v>
      </c>
      <c r="G326" s="11">
        <v>0.17</v>
      </c>
      <c r="H326" s="11">
        <v>0.12</v>
      </c>
      <c r="I326" s="8">
        <f t="shared" si="15"/>
        <v>10.6425</v>
      </c>
      <c r="J326" s="10">
        <v>1.1499999999999999</v>
      </c>
      <c r="K326" s="9">
        <f t="shared" si="16"/>
        <v>12.238874999999998</v>
      </c>
      <c r="L326" s="11">
        <v>0.1</v>
      </c>
      <c r="M326" s="15">
        <f t="shared" si="17"/>
        <v>13.4627625</v>
      </c>
    </row>
    <row r="327" spans="1:13" x14ac:dyDescent="0.25">
      <c r="A327" s="12" t="s">
        <v>661</v>
      </c>
      <c r="C327" s="6" t="str">
        <f>VLOOKUP(A327,'[1]PRECIOS NUEVOS'!$A:$C,3,0)</f>
        <v>cazoleta de amortiguador</v>
      </c>
      <c r="D327" s="14" t="s">
        <v>665</v>
      </c>
      <c r="E327" s="12">
        <v>5</v>
      </c>
      <c r="F327" s="12">
        <v>9.1999999999999993</v>
      </c>
      <c r="G327" s="11">
        <v>0.17</v>
      </c>
      <c r="H327" s="11">
        <v>0.12</v>
      </c>
      <c r="I327" s="8">
        <f t="shared" si="15"/>
        <v>6.45</v>
      </c>
      <c r="J327" s="10">
        <v>1.1499999999999999</v>
      </c>
      <c r="K327" s="9">
        <f t="shared" si="16"/>
        <v>7.4174999999999995</v>
      </c>
      <c r="L327" s="11">
        <v>0.1</v>
      </c>
      <c r="M327" s="15">
        <f t="shared" si="17"/>
        <v>8.1592500000000001</v>
      </c>
    </row>
    <row r="328" spans="1:13" x14ac:dyDescent="0.25">
      <c r="A328" s="12" t="s">
        <v>662</v>
      </c>
      <c r="C328" s="6" t="str">
        <f>VLOOKUP(A328,'[1]PRECIOS NUEVOS'!$A:$C,3,0)</f>
        <v>tuerca de soporte inferior</v>
      </c>
      <c r="D328" s="14" t="s">
        <v>665</v>
      </c>
      <c r="E328" s="12">
        <v>1.1000000000000001</v>
      </c>
      <c r="F328" s="12">
        <v>2</v>
      </c>
      <c r="G328" s="11">
        <v>0.17</v>
      </c>
      <c r="H328" s="11">
        <v>0.12</v>
      </c>
      <c r="I328" s="8">
        <f t="shared" si="15"/>
        <v>1.4190000000000003</v>
      </c>
      <c r="J328" s="10">
        <v>1.1499999999999999</v>
      </c>
      <c r="K328" s="9">
        <f t="shared" si="16"/>
        <v>1.6318500000000002</v>
      </c>
      <c r="L328" s="11">
        <v>0.1</v>
      </c>
      <c r="M328" s="15">
        <f t="shared" si="17"/>
        <v>1.7950350000000004</v>
      </c>
    </row>
    <row r="329" spans="1:13" x14ac:dyDescent="0.25">
      <c r="A329" s="12" t="s">
        <v>663</v>
      </c>
      <c r="C329" s="6" t="str">
        <f>VLOOKUP(A329,'[1]PRECIOS NUEVOS'!$A:$C,3,0)</f>
        <v>extremo amortiguador CORTO</v>
      </c>
      <c r="D329" s="14" t="s">
        <v>665</v>
      </c>
      <c r="E329" s="12">
        <v>6.6</v>
      </c>
      <c r="F329" s="12">
        <v>12</v>
      </c>
      <c r="G329" s="11">
        <v>0.17</v>
      </c>
      <c r="H329" s="11">
        <v>0.12</v>
      </c>
      <c r="I329" s="8">
        <f t="shared" si="15"/>
        <v>8.5139999999999993</v>
      </c>
      <c r="J329" s="10">
        <v>1.1499999999999999</v>
      </c>
      <c r="K329" s="9">
        <f t="shared" si="16"/>
        <v>9.7910999999999984</v>
      </c>
      <c r="L329" s="11">
        <v>0.1</v>
      </c>
      <c r="M329" s="15">
        <f t="shared" si="17"/>
        <v>10.770209999999999</v>
      </c>
    </row>
    <row r="330" spans="1:13" x14ac:dyDescent="0.25">
      <c r="A330" s="12" t="s">
        <v>664</v>
      </c>
      <c r="C330" s="6">
        <f>VLOOKUP(A330,'[1]PRECIOS NUEVOS'!$A:$C,3,0)</f>
        <v>0</v>
      </c>
      <c r="D330" s="14" t="s">
        <v>665</v>
      </c>
      <c r="E330" s="12">
        <v>6.6</v>
      </c>
      <c r="F330" s="12">
        <v>12</v>
      </c>
      <c r="G330" s="11">
        <v>0.17</v>
      </c>
      <c r="H330" s="11">
        <v>0.12</v>
      </c>
      <c r="I330" s="8">
        <f t="shared" si="15"/>
        <v>8.5139999999999993</v>
      </c>
      <c r="J330" s="10">
        <v>1.1499999999999999</v>
      </c>
      <c r="K330" s="9">
        <f t="shared" si="16"/>
        <v>9.7910999999999984</v>
      </c>
      <c r="L330" s="11">
        <v>0.1</v>
      </c>
      <c r="M330" s="15">
        <f t="shared" si="17"/>
        <v>10.770209999999999</v>
      </c>
    </row>
    <row r="331" spans="1:13" x14ac:dyDescent="0.25">
      <c r="A331" s="12" t="s">
        <v>636</v>
      </c>
      <c r="B331" s="12" t="s">
        <v>637</v>
      </c>
      <c r="C331" s="6" t="str">
        <f>VLOOKUP(A331,'[1]PRECIOS NUEVOS'!$A:$C,3,0)</f>
        <v>extremo de amortiguaodr largo</v>
      </c>
      <c r="D331" s="12">
        <v>2</v>
      </c>
      <c r="E331" s="12">
        <v>6.6</v>
      </c>
      <c r="F331" s="12">
        <v>12</v>
      </c>
      <c r="G331" s="11">
        <v>0.17</v>
      </c>
      <c r="H331" s="11">
        <v>0.12</v>
      </c>
      <c r="I331" s="8">
        <f t="shared" si="15"/>
        <v>8.5139999999999993</v>
      </c>
      <c r="J331" s="10">
        <v>1.1499999999999999</v>
      </c>
      <c r="K331" s="9">
        <f t="shared" si="16"/>
        <v>9.7910999999999984</v>
      </c>
      <c r="L331" s="11">
        <v>0.1</v>
      </c>
      <c r="M331" s="15">
        <f t="shared" si="17"/>
        <v>10.770209999999999</v>
      </c>
    </row>
    <row r="332" spans="1:13" x14ac:dyDescent="0.25">
      <c r="A332" s="12" t="s">
        <v>638</v>
      </c>
      <c r="C332" s="6" t="str">
        <f>VLOOKUP(A332,'[1]PRECIOS NUEVOS'!$A:$C,3,0)</f>
        <v>Cuerpo de amoriguador</v>
      </c>
      <c r="D332" s="5">
        <v>1</v>
      </c>
      <c r="E332" s="12">
        <v>33</v>
      </c>
      <c r="F332" s="12">
        <v>57.5</v>
      </c>
      <c r="G332" s="11">
        <v>0.17</v>
      </c>
      <c r="H332" s="11">
        <v>0.12</v>
      </c>
      <c r="I332" s="8">
        <f t="shared" si="15"/>
        <v>42.57</v>
      </c>
      <c r="J332" s="10">
        <v>1.1499999999999999</v>
      </c>
      <c r="K332" s="9">
        <f t="shared" si="16"/>
        <v>48.955499999999994</v>
      </c>
      <c r="L332" s="11">
        <v>0.1</v>
      </c>
      <c r="M332" s="15">
        <f t="shared" si="17"/>
        <v>53.851050000000001</v>
      </c>
    </row>
    <row r="333" spans="1:13" x14ac:dyDescent="0.25">
      <c r="A333" s="12" t="s">
        <v>639</v>
      </c>
      <c r="B333" s="12" t="s">
        <v>640</v>
      </c>
      <c r="C333" s="6" t="str">
        <f>VLOOKUP(A333,'[1]PRECIOS NUEVOS'!$A:$C,3,0)</f>
        <v>pistones de amortiguador 1,4</v>
      </c>
      <c r="D333" s="12">
        <v>1</v>
      </c>
      <c r="E333" s="12">
        <v>5.5</v>
      </c>
      <c r="F333" s="12">
        <v>10</v>
      </c>
      <c r="G333" s="11">
        <v>0.17</v>
      </c>
      <c r="H333" s="11">
        <v>0.12</v>
      </c>
      <c r="I333" s="8">
        <f t="shared" si="15"/>
        <v>7.0950000000000006</v>
      </c>
      <c r="J333" s="10">
        <v>1.1499999999999999</v>
      </c>
      <c r="K333" s="9">
        <f t="shared" si="16"/>
        <v>8.1592500000000001</v>
      </c>
      <c r="L333" s="11">
        <v>0.1</v>
      </c>
      <c r="M333" s="15">
        <f t="shared" si="17"/>
        <v>8.9751750000000001</v>
      </c>
    </row>
    <row r="334" spans="1:13" x14ac:dyDescent="0.25">
      <c r="A334" s="12" t="s">
        <v>641</v>
      </c>
      <c r="B334" s="12" t="s">
        <v>642</v>
      </c>
      <c r="C334" s="6" t="str">
        <f>VLOOKUP(A334,'[1]PRECIOS NUEVOS'!$A:$C,3,0)</f>
        <v>vastago DORADO</v>
      </c>
      <c r="D334" s="12">
        <v>1</v>
      </c>
      <c r="E334" s="12">
        <v>8.25</v>
      </c>
      <c r="F334" s="12">
        <v>15</v>
      </c>
      <c r="G334" s="11">
        <v>0.17</v>
      </c>
      <c r="H334" s="11">
        <v>0.12</v>
      </c>
      <c r="I334" s="8">
        <f t="shared" si="15"/>
        <v>10.6425</v>
      </c>
      <c r="J334" s="10">
        <v>1.1499999999999999</v>
      </c>
      <c r="K334" s="9">
        <f t="shared" si="16"/>
        <v>12.238874999999998</v>
      </c>
      <c r="L334" s="11">
        <v>0.1</v>
      </c>
      <c r="M334" s="15">
        <f t="shared" si="17"/>
        <v>13.4627625</v>
      </c>
    </row>
    <row r="335" spans="1:13" x14ac:dyDescent="0.25">
      <c r="A335" s="12" t="s">
        <v>643</v>
      </c>
      <c r="B335" s="12" t="s">
        <v>644</v>
      </c>
      <c r="C335" s="6" t="str">
        <f>VLOOKUP(A335,'[1]PRECIOS NUEVOS'!$A:$C,3,0)</f>
        <v>PISTON DE 1,5</v>
      </c>
      <c r="D335" s="12">
        <v>1</v>
      </c>
      <c r="E335" s="12">
        <v>5.5</v>
      </c>
      <c r="F335" s="12">
        <v>10</v>
      </c>
      <c r="G335" s="11">
        <v>0.17</v>
      </c>
      <c r="H335" s="11">
        <v>0.12</v>
      </c>
      <c r="I335" s="8">
        <f t="shared" si="15"/>
        <v>7.0950000000000006</v>
      </c>
      <c r="J335" s="10">
        <v>1.1499999999999999</v>
      </c>
      <c r="K335" s="9">
        <f t="shared" si="16"/>
        <v>8.1592500000000001</v>
      </c>
      <c r="L335" s="11">
        <v>0.1</v>
      </c>
      <c r="M335" s="15">
        <f t="shared" si="17"/>
        <v>8.9751750000000001</v>
      </c>
    </row>
    <row r="336" spans="1:13" x14ac:dyDescent="0.25">
      <c r="A336" s="12" t="s">
        <v>645</v>
      </c>
      <c r="B336" s="12" t="s">
        <v>646</v>
      </c>
      <c r="C336" s="6" t="str">
        <f>VLOOKUP(A336,'[1]PRECIOS NUEVOS'!$A:$C,3,0)</f>
        <v>PISTON DE 1,8</v>
      </c>
      <c r="D336" s="12">
        <v>1</v>
      </c>
      <c r="E336" s="12">
        <v>5.5</v>
      </c>
      <c r="F336" s="12">
        <v>10</v>
      </c>
      <c r="G336" s="11">
        <v>0.17</v>
      </c>
      <c r="H336" s="11">
        <v>0.12</v>
      </c>
      <c r="I336" s="8">
        <f t="shared" si="15"/>
        <v>7.0950000000000006</v>
      </c>
      <c r="J336" s="10">
        <v>1.1499999999999999</v>
      </c>
      <c r="K336" s="9">
        <f t="shared" si="16"/>
        <v>8.1592500000000001</v>
      </c>
      <c r="L336" s="11">
        <v>0.1</v>
      </c>
      <c r="M336" s="15">
        <f t="shared" si="17"/>
        <v>8.9751750000000001</v>
      </c>
    </row>
    <row r="337" spans="1:13" x14ac:dyDescent="0.25">
      <c r="A337" s="12" t="s">
        <v>647</v>
      </c>
      <c r="B337" s="12" t="s">
        <v>648</v>
      </c>
      <c r="C337" s="6" t="e">
        <f>VLOOKUP(A337,'[1]PRECIOS NUEVOS'!$A:$C,3,0)</f>
        <v>#N/A</v>
      </c>
      <c r="D337" s="12">
        <v>1</v>
      </c>
      <c r="E337" s="12">
        <v>7.5</v>
      </c>
      <c r="F337" s="12">
        <v>13</v>
      </c>
      <c r="G337" s="11">
        <v>0.17</v>
      </c>
      <c r="H337" s="11">
        <v>0.12</v>
      </c>
      <c r="I337" s="8">
        <f t="shared" si="15"/>
        <v>9.6750000000000007</v>
      </c>
      <c r="J337" s="10">
        <v>1.1499999999999999</v>
      </c>
      <c r="K337" s="9">
        <f t="shared" si="16"/>
        <v>11.126250000000001</v>
      </c>
      <c r="L337" s="11">
        <v>0.1</v>
      </c>
      <c r="M337" s="15">
        <f t="shared" si="17"/>
        <v>12.238875000000002</v>
      </c>
    </row>
    <row r="338" spans="1:13" x14ac:dyDescent="0.25">
      <c r="A338" s="12" t="s">
        <v>649</v>
      </c>
      <c r="B338" s="12" t="s">
        <v>650</v>
      </c>
      <c r="C338" s="6" t="e">
        <f>VLOOKUP(A338,'[1]PRECIOS NUEVOS'!$A:$C,3,0)</f>
        <v>#N/A</v>
      </c>
      <c r="D338" s="12">
        <v>1</v>
      </c>
      <c r="E338" s="12">
        <v>7.5</v>
      </c>
      <c r="F338" s="12">
        <v>13</v>
      </c>
      <c r="G338" s="11">
        <v>0.17</v>
      </c>
      <c r="H338" s="11">
        <v>0.12</v>
      </c>
      <c r="I338" s="8">
        <f t="shared" si="15"/>
        <v>9.6750000000000007</v>
      </c>
      <c r="J338" s="10">
        <v>1.1499999999999999</v>
      </c>
      <c r="K338" s="9">
        <f t="shared" si="16"/>
        <v>11.126250000000001</v>
      </c>
      <c r="L338" s="11">
        <v>0.1</v>
      </c>
      <c r="M338" s="15">
        <f t="shared" si="17"/>
        <v>12.238875000000002</v>
      </c>
    </row>
    <row r="339" spans="1:13" x14ac:dyDescent="0.25">
      <c r="A339" s="12" t="s">
        <v>651</v>
      </c>
      <c r="B339" s="12" t="s">
        <v>652</v>
      </c>
      <c r="C339" s="6" t="e">
        <f>VLOOKUP(A339,'[1]PRECIOS NUEVOS'!$A:$C,3,0)</f>
        <v>#N/A</v>
      </c>
      <c r="D339" s="12">
        <v>1</v>
      </c>
      <c r="E339" s="12">
        <v>7.5</v>
      </c>
      <c r="F339" s="12">
        <v>13</v>
      </c>
      <c r="G339" s="11">
        <v>0.17</v>
      </c>
      <c r="H339" s="11">
        <v>0.12</v>
      </c>
      <c r="I339" s="8">
        <f t="shared" si="15"/>
        <v>9.6750000000000007</v>
      </c>
      <c r="J339" s="10">
        <v>1.1499999999999999</v>
      </c>
      <c r="K339" s="9">
        <f t="shared" si="16"/>
        <v>11.126250000000001</v>
      </c>
      <c r="L339" s="11">
        <v>0.1</v>
      </c>
      <c r="M339" s="15">
        <f t="shared" si="17"/>
        <v>12.238875000000002</v>
      </c>
    </row>
    <row r="340" spans="1:13" x14ac:dyDescent="0.25">
      <c r="A340" s="12" t="s">
        <v>653</v>
      </c>
      <c r="B340" s="12" t="s">
        <v>654</v>
      </c>
      <c r="C340" s="6" t="e">
        <f>VLOOKUP(A340,'[1]PRECIOS NUEVOS'!$A:$C,3,0)</f>
        <v>#N/A</v>
      </c>
      <c r="D340" s="12">
        <v>1</v>
      </c>
      <c r="E340" s="12">
        <v>7.5</v>
      </c>
      <c r="F340" s="12">
        <v>13</v>
      </c>
      <c r="G340" s="11">
        <v>0.17</v>
      </c>
      <c r="H340" s="11">
        <v>0.12</v>
      </c>
      <c r="I340" s="8">
        <f t="shared" si="15"/>
        <v>9.6750000000000007</v>
      </c>
      <c r="J340" s="10">
        <v>1.1499999999999999</v>
      </c>
      <c r="K340" s="9">
        <f t="shared" si="16"/>
        <v>11.126250000000001</v>
      </c>
      <c r="L340" s="11">
        <v>0.1</v>
      </c>
      <c r="M340" s="15">
        <f t="shared" si="17"/>
        <v>12.238875000000002</v>
      </c>
    </row>
    <row r="341" spans="1:13" x14ac:dyDescent="0.25">
      <c r="A341" s="12" t="s">
        <v>655</v>
      </c>
      <c r="B341" s="12" t="s">
        <v>656</v>
      </c>
      <c r="C341" s="6" t="e">
        <f>VLOOKUP(A341,'[1]PRECIOS NUEVOS'!$A:$C,3,0)</f>
        <v>#N/A</v>
      </c>
      <c r="D341" s="12">
        <v>1</v>
      </c>
      <c r="E341" s="12">
        <v>7.5</v>
      </c>
      <c r="F341" s="12">
        <v>13</v>
      </c>
      <c r="G341" s="11">
        <v>0.17</v>
      </c>
      <c r="H341" s="11">
        <v>0.12</v>
      </c>
      <c r="I341" s="8">
        <f t="shared" si="15"/>
        <v>9.6750000000000007</v>
      </c>
      <c r="J341" s="10">
        <v>1.1499999999999999</v>
      </c>
      <c r="K341" s="9">
        <f t="shared" si="16"/>
        <v>11.126250000000001</v>
      </c>
      <c r="L341" s="11">
        <v>0.1</v>
      </c>
      <c r="M341" s="15">
        <f t="shared" si="17"/>
        <v>12.238875000000002</v>
      </c>
    </row>
    <row r="342" spans="1:13" x14ac:dyDescent="0.25">
      <c r="A342" s="12" t="s">
        <v>657</v>
      </c>
      <c r="B342" s="12" t="s">
        <v>658</v>
      </c>
      <c r="C342" s="6" t="e">
        <f>VLOOKUP(A342,'[1]PRECIOS NUEVOS'!$A:$C,3,0)</f>
        <v>#N/A</v>
      </c>
      <c r="D342" s="12">
        <v>1</v>
      </c>
      <c r="E342" s="12">
        <v>7.5</v>
      </c>
      <c r="F342" s="12">
        <v>13</v>
      </c>
      <c r="G342" s="11">
        <v>0.17</v>
      </c>
      <c r="H342" s="11">
        <v>0.12</v>
      </c>
      <c r="I342" s="8">
        <f t="shared" si="15"/>
        <v>9.6750000000000007</v>
      </c>
      <c r="J342" s="10">
        <v>1.1499999999999999</v>
      </c>
      <c r="K342" s="9">
        <f t="shared" si="16"/>
        <v>11.126250000000001</v>
      </c>
      <c r="L342" s="11">
        <v>0.1</v>
      </c>
      <c r="M342" s="15">
        <f t="shared" si="17"/>
        <v>12.238875000000002</v>
      </c>
    </row>
    <row r="343" spans="1:13" x14ac:dyDescent="0.25">
      <c r="A343" s="12" t="s">
        <v>659</v>
      </c>
      <c r="B343" s="12" t="s">
        <v>660</v>
      </c>
      <c r="C343" s="6" t="e">
        <f>VLOOKUP(A343,'[1]PRECIOS NUEVOS'!$A:$C,3,0)</f>
        <v>#N/A</v>
      </c>
      <c r="D343" s="12">
        <v>1</v>
      </c>
      <c r="E343" s="12">
        <v>7.5</v>
      </c>
      <c r="F343" s="12">
        <v>13</v>
      </c>
      <c r="G343" s="11">
        <v>0.17</v>
      </c>
      <c r="H343" s="11">
        <v>0.12</v>
      </c>
      <c r="I343" s="8">
        <f t="shared" si="15"/>
        <v>9.6750000000000007</v>
      </c>
      <c r="J343" s="10">
        <v>1.1499999999999999</v>
      </c>
      <c r="K343" s="9">
        <f t="shared" si="16"/>
        <v>11.126250000000001</v>
      </c>
      <c r="L343" s="11">
        <v>0.1</v>
      </c>
      <c r="M343" s="15">
        <f t="shared" si="17"/>
        <v>12.238875000000002</v>
      </c>
    </row>
    <row r="344" spans="1:13" x14ac:dyDescent="0.25">
      <c r="C344" s="6" t="e">
        <f>VLOOKUP(A344,'[1]PRECIOS NUEVOS'!$A:$C,3,0)</f>
        <v>#N/A</v>
      </c>
      <c r="G344" s="11">
        <v>0.17</v>
      </c>
      <c r="H344" s="11">
        <v>0.12</v>
      </c>
      <c r="I344" s="8">
        <f t="shared" si="15"/>
        <v>0</v>
      </c>
      <c r="J344" s="10">
        <v>1.1499999999999999</v>
      </c>
      <c r="K344" s="9">
        <f t="shared" si="16"/>
        <v>0</v>
      </c>
      <c r="L344" s="11">
        <v>0.1</v>
      </c>
      <c r="M344" s="15">
        <f t="shared" si="17"/>
        <v>0</v>
      </c>
    </row>
    <row r="345" spans="1:13" x14ac:dyDescent="0.25">
      <c r="A345" t="s">
        <v>666</v>
      </c>
      <c r="B345" t="s">
        <v>667</v>
      </c>
      <c r="C345" s="6" t="str">
        <f>VLOOKUP(A345,'[1]PRECIOS NUEVOS'!$A:$C,3,0)</f>
        <v>herramienta de ajuste</v>
      </c>
      <c r="D345">
        <v>1</v>
      </c>
      <c r="E345">
        <v>20</v>
      </c>
      <c r="F345">
        <v>35</v>
      </c>
      <c r="G345" s="11">
        <v>0.17</v>
      </c>
      <c r="H345" s="11">
        <v>0.12</v>
      </c>
      <c r="I345" s="8">
        <f t="shared" si="15"/>
        <v>25.8</v>
      </c>
      <c r="J345" s="10">
        <v>1.1499999999999999</v>
      </c>
      <c r="K345" s="9">
        <f t="shared" si="16"/>
        <v>29.669999999999998</v>
      </c>
      <c r="L345" s="11">
        <v>0.1</v>
      </c>
      <c r="M345" s="15">
        <f t="shared" si="17"/>
        <v>32.637</v>
      </c>
    </row>
    <row r="346" spans="1:13" x14ac:dyDescent="0.25">
      <c r="A346" t="s">
        <v>668</v>
      </c>
      <c r="B346" t="s">
        <v>669</v>
      </c>
      <c r="C346" s="6" t="str">
        <f>VLOOKUP(A346,'[1]PRECIOS NUEVOS'!$A:$C,3,0)</f>
        <v xml:space="preserve">herramienta para desanclar </v>
      </c>
      <c r="D346">
        <v>1</v>
      </c>
      <c r="E346">
        <v>12</v>
      </c>
      <c r="F346">
        <v>21</v>
      </c>
      <c r="G346" s="11">
        <v>0.17</v>
      </c>
      <c r="H346" s="11">
        <v>0.12</v>
      </c>
      <c r="I346" s="8">
        <f t="shared" si="15"/>
        <v>15.48</v>
      </c>
      <c r="J346" s="10">
        <v>1.1499999999999999</v>
      </c>
      <c r="K346" s="9">
        <f t="shared" si="16"/>
        <v>17.802</v>
      </c>
      <c r="L346" s="11">
        <v>0.1</v>
      </c>
      <c r="M346" s="15">
        <f t="shared" si="17"/>
        <v>19.5822</v>
      </c>
    </row>
    <row r="347" spans="1:13" x14ac:dyDescent="0.25">
      <c r="A347" t="s">
        <v>670</v>
      </c>
      <c r="B347" t="s">
        <v>671</v>
      </c>
      <c r="C347" s="6" t="str">
        <f>VLOOKUP(A347,'[1]PRECIOS NUEVOS'!$A:$C,3,0)</f>
        <v>zapatas 2 alu + 1 carbomo</v>
      </c>
      <c r="D347">
        <v>3</v>
      </c>
      <c r="E347">
        <v>31</v>
      </c>
      <c r="F347">
        <v>54</v>
      </c>
      <c r="G347" s="11">
        <v>0.17</v>
      </c>
      <c r="H347" s="11">
        <v>0.12</v>
      </c>
      <c r="I347" s="8">
        <f t="shared" si="15"/>
        <v>39.99</v>
      </c>
      <c r="J347" s="10">
        <v>1.1499999999999999</v>
      </c>
      <c r="K347" s="9">
        <f t="shared" si="16"/>
        <v>45.988500000000002</v>
      </c>
      <c r="L347" s="11">
        <v>0.1</v>
      </c>
      <c r="M347" s="15">
        <f t="shared" si="17"/>
        <v>50.587350000000008</v>
      </c>
    </row>
    <row r="348" spans="1:13" x14ac:dyDescent="0.25">
      <c r="A348" t="s">
        <v>672</v>
      </c>
      <c r="B348" t="s">
        <v>673</v>
      </c>
      <c r="C348" s="6" t="str">
        <f>VLOOKUP(A348,'[1]PRECIOS NUEVOS'!$A:$C,3,0)</f>
        <v>resortes 2.4</v>
      </c>
      <c r="D348">
        <v>3</v>
      </c>
      <c r="E348">
        <v>5.5</v>
      </c>
      <c r="F348">
        <v>10</v>
      </c>
      <c r="G348" s="11">
        <v>0.17</v>
      </c>
      <c r="H348" s="11">
        <v>0.12</v>
      </c>
      <c r="I348" s="8">
        <f t="shared" si="15"/>
        <v>7.0950000000000006</v>
      </c>
      <c r="J348" s="10">
        <v>1.1499999999999999</v>
      </c>
      <c r="K348" s="9">
        <f t="shared" si="16"/>
        <v>8.1592500000000001</v>
      </c>
      <c r="L348" s="11">
        <v>0.1</v>
      </c>
      <c r="M348" s="15">
        <f t="shared" si="17"/>
        <v>8.9751750000000001</v>
      </c>
    </row>
    <row r="349" spans="1:13" x14ac:dyDescent="0.25">
      <c r="A349" t="s">
        <v>674</v>
      </c>
      <c r="B349" t="s">
        <v>675</v>
      </c>
      <c r="C349" s="6" t="str">
        <f>VLOOKUP(A349,'[1]PRECIOS NUEVOS'!$A:$C,3,0)</f>
        <v>cuerpo de embrague para meca</v>
      </c>
      <c r="D349">
        <v>1</v>
      </c>
      <c r="E349">
        <v>25.5</v>
      </c>
      <c r="F349">
        <v>45</v>
      </c>
      <c r="G349" s="11">
        <v>0.17</v>
      </c>
      <c r="H349" s="11">
        <v>0.12</v>
      </c>
      <c r="I349" s="8">
        <f t="shared" si="15"/>
        <v>32.895000000000003</v>
      </c>
      <c r="J349" s="10">
        <v>1.1499999999999999</v>
      </c>
      <c r="K349" s="9">
        <f t="shared" si="16"/>
        <v>37.829250000000002</v>
      </c>
      <c r="L349" s="11">
        <v>0.1</v>
      </c>
      <c r="M349" s="15">
        <f t="shared" si="17"/>
        <v>41.612175000000008</v>
      </c>
    </row>
    <row r="350" spans="1:13" x14ac:dyDescent="0.25">
      <c r="A350" t="s">
        <v>676</v>
      </c>
      <c r="B350" t="s">
        <v>677</v>
      </c>
      <c r="C350" s="6" t="str">
        <f>VLOOKUP(A350,'[1]PRECIOS NUEVOS'!$A:$C,3,0)</f>
        <v>cuerpo de embrague rs5</v>
      </c>
      <c r="D350">
        <v>1</v>
      </c>
      <c r="E350">
        <v>25.5</v>
      </c>
      <c r="F350">
        <v>45</v>
      </c>
      <c r="G350" s="11">
        <v>0.17</v>
      </c>
      <c r="H350" s="11">
        <v>0.12</v>
      </c>
      <c r="I350" s="8">
        <f t="shared" ref="I350:I413" si="18">E350*(1+G350+H350)</f>
        <v>32.895000000000003</v>
      </c>
      <c r="J350" s="10">
        <v>1.1499999999999999</v>
      </c>
      <c r="K350" s="9">
        <f t="shared" ref="K350:K413" si="19">I350*J350</f>
        <v>37.829250000000002</v>
      </c>
      <c r="L350" s="11">
        <v>0.1</v>
      </c>
      <c r="M350" s="15">
        <f t="shared" ref="M350:M413" si="20">K350*(1+L350)</f>
        <v>41.612175000000008</v>
      </c>
    </row>
    <row r="351" spans="1:13" x14ac:dyDescent="0.25">
      <c r="A351" t="s">
        <v>678</v>
      </c>
      <c r="B351" t="s">
        <v>679</v>
      </c>
      <c r="C351" s="6" t="str">
        <f>VLOOKUP(A351,'[1]PRECIOS NUEVOS'!$A:$C,3,0)</f>
        <v>3 zapatas de aluminio</v>
      </c>
      <c r="D351">
        <v>3</v>
      </c>
      <c r="E351">
        <v>31</v>
      </c>
      <c r="F351">
        <v>54</v>
      </c>
      <c r="G351" s="11">
        <v>0.17</v>
      </c>
      <c r="H351" s="11">
        <v>0.12</v>
      </c>
      <c r="I351" s="8">
        <f t="shared" si="18"/>
        <v>39.99</v>
      </c>
      <c r="J351" s="10">
        <v>1.1499999999999999</v>
      </c>
      <c r="K351" s="9">
        <f t="shared" si="19"/>
        <v>45.988500000000002</v>
      </c>
      <c r="L351" s="11">
        <v>0.1</v>
      </c>
      <c r="M351" s="15">
        <f t="shared" si="20"/>
        <v>50.587350000000008</v>
      </c>
    </row>
    <row r="352" spans="1:13" x14ac:dyDescent="0.25">
      <c r="A352" t="s">
        <v>680</v>
      </c>
      <c r="B352" t="s">
        <v>681</v>
      </c>
      <c r="C352" s="6" t="e">
        <f>VLOOKUP(A352,'[1]PRECIOS NUEVOS'!$A:$C,3,0)</f>
        <v>#N/A</v>
      </c>
      <c r="D352">
        <v>3</v>
      </c>
      <c r="E352">
        <v>5.5</v>
      </c>
      <c r="F352">
        <v>10</v>
      </c>
      <c r="G352" s="11">
        <v>0.17</v>
      </c>
      <c r="H352" s="11">
        <v>0.12</v>
      </c>
      <c r="I352" s="8">
        <f t="shared" si="18"/>
        <v>7.0950000000000006</v>
      </c>
      <c r="J352" s="10">
        <v>1.1499999999999999</v>
      </c>
      <c r="K352" s="9">
        <f t="shared" si="19"/>
        <v>8.1592500000000001</v>
      </c>
      <c r="L352" s="11">
        <v>0.1</v>
      </c>
      <c r="M352" s="15">
        <f t="shared" si="20"/>
        <v>8.9751750000000001</v>
      </c>
    </row>
    <row r="353" spans="1:13" x14ac:dyDescent="0.25">
      <c r="A353" t="s">
        <v>682</v>
      </c>
      <c r="B353" t="s">
        <v>683</v>
      </c>
      <c r="C353" s="6" t="str">
        <f>VLOOKUP(A353,'[1]PRECIOS NUEVOS'!$A:$C,3,0)</f>
        <v>tapa de carbono</v>
      </c>
      <c r="D353">
        <v>1</v>
      </c>
      <c r="E353">
        <v>8</v>
      </c>
      <c r="F353">
        <v>14.8</v>
      </c>
      <c r="G353" s="11">
        <v>0.17</v>
      </c>
      <c r="H353" s="11">
        <v>0.12</v>
      </c>
      <c r="I353" s="8">
        <f t="shared" si="18"/>
        <v>10.32</v>
      </c>
      <c r="J353" s="10">
        <v>1.1499999999999999</v>
      </c>
      <c r="K353" s="9">
        <f t="shared" si="19"/>
        <v>11.867999999999999</v>
      </c>
      <c r="L353" s="11">
        <v>0.1</v>
      </c>
      <c r="M353" s="15">
        <f t="shared" si="20"/>
        <v>13.0548</v>
      </c>
    </row>
    <row r="354" spans="1:13" x14ac:dyDescent="0.25">
      <c r="A354" t="s">
        <v>684</v>
      </c>
      <c r="B354" t="s">
        <v>685</v>
      </c>
      <c r="C354" s="6" t="str">
        <f>VLOOKUP(A354,'[1]PRECIOS NUEVOS'!$A:$C,3,0)</f>
        <v>tornillos</v>
      </c>
      <c r="D354">
        <v>6</v>
      </c>
      <c r="E354">
        <v>2</v>
      </c>
      <c r="F354">
        <v>4</v>
      </c>
      <c r="G354" s="11">
        <v>0.17</v>
      </c>
      <c r="H354" s="11">
        <v>0.12</v>
      </c>
      <c r="I354" s="8">
        <f t="shared" si="18"/>
        <v>2.58</v>
      </c>
      <c r="J354" s="10">
        <v>1.1499999999999999</v>
      </c>
      <c r="K354" s="9">
        <f t="shared" si="19"/>
        <v>2.9669999999999996</v>
      </c>
      <c r="L354" s="11">
        <v>0.1</v>
      </c>
      <c r="M354" s="15">
        <f t="shared" si="20"/>
        <v>3.2637</v>
      </c>
    </row>
    <row r="355" spans="1:13" x14ac:dyDescent="0.25">
      <c r="A355" t="s">
        <v>686</v>
      </c>
      <c r="B355" t="s">
        <v>687</v>
      </c>
      <c r="C355" s="6" t="str">
        <f>VLOOKUP(A355,'[1]PRECIOS NUEVOS'!$A:$C,3,0)</f>
        <v>cuerpo para posiciones</v>
      </c>
      <c r="D355">
        <v>1</v>
      </c>
      <c r="E355">
        <v>18</v>
      </c>
      <c r="F355">
        <v>31.5</v>
      </c>
      <c r="G355" s="11">
        <v>0.17</v>
      </c>
      <c r="H355" s="11">
        <v>0.12</v>
      </c>
      <c r="I355" s="8">
        <f t="shared" si="18"/>
        <v>23.22</v>
      </c>
      <c r="J355" s="10">
        <v>1.1499999999999999</v>
      </c>
      <c r="K355" s="9">
        <f t="shared" si="19"/>
        <v>26.702999999999996</v>
      </c>
      <c r="L355" s="11">
        <v>0.1</v>
      </c>
      <c r="M355" s="15">
        <f t="shared" si="20"/>
        <v>29.373299999999997</v>
      </c>
    </row>
    <row r="356" spans="1:13" x14ac:dyDescent="0.25">
      <c r="A356" t="s">
        <v>688</v>
      </c>
      <c r="B356" t="s">
        <v>689</v>
      </c>
      <c r="C356" s="6" t="str">
        <f>VLOOKUP(A356,'[1]PRECIOS NUEVOS'!$A:$C,3,0)</f>
        <v>cono y tornillo para otros autos</v>
      </c>
      <c r="D356">
        <v>2</v>
      </c>
      <c r="E356">
        <v>3.5</v>
      </c>
      <c r="F356">
        <v>6.5</v>
      </c>
      <c r="G356" s="11">
        <v>0.17</v>
      </c>
      <c r="H356" s="11">
        <v>0.12</v>
      </c>
      <c r="I356" s="8">
        <f t="shared" si="18"/>
        <v>4.5150000000000006</v>
      </c>
      <c r="J356" s="10">
        <v>1.1499999999999999</v>
      </c>
      <c r="K356" s="9">
        <f t="shared" si="19"/>
        <v>5.1922500000000005</v>
      </c>
      <c r="L356" s="11">
        <v>0.1</v>
      </c>
      <c r="M356" s="15">
        <f t="shared" si="20"/>
        <v>5.711475000000001</v>
      </c>
    </row>
    <row r="357" spans="1:13" x14ac:dyDescent="0.25">
      <c r="A357" t="s">
        <v>690</v>
      </c>
      <c r="B357" t="s">
        <v>691</v>
      </c>
      <c r="C357" s="6" t="e">
        <f>VLOOKUP(A357,'[1]PRECIOS NUEVOS'!$A:$C,3,0)</f>
        <v>#N/A</v>
      </c>
      <c r="D357">
        <v>1</v>
      </c>
      <c r="E357">
        <v>8.1</v>
      </c>
      <c r="F357">
        <v>15</v>
      </c>
      <c r="G357" s="11">
        <v>0.17</v>
      </c>
      <c r="H357" s="11">
        <v>0.12</v>
      </c>
      <c r="I357" s="8">
        <f t="shared" si="18"/>
        <v>10.449</v>
      </c>
      <c r="J357" s="10">
        <v>1.1499999999999999</v>
      </c>
      <c r="K357" s="9">
        <f t="shared" si="19"/>
        <v>12.016349999999999</v>
      </c>
      <c r="L357" s="11">
        <v>0.1</v>
      </c>
      <c r="M357" s="15">
        <f t="shared" si="20"/>
        <v>13.217985000000001</v>
      </c>
    </row>
    <row r="358" spans="1:13" x14ac:dyDescent="0.25">
      <c r="A358" t="s">
        <v>692</v>
      </c>
      <c r="B358" t="s">
        <v>693</v>
      </c>
      <c r="C358" s="6" t="e">
        <f>VLOOKUP(A358,'[1]PRECIOS NUEVOS'!$A:$C,3,0)</f>
        <v>#N/A</v>
      </c>
      <c r="D358">
        <v>1</v>
      </c>
      <c r="E358">
        <v>85.5</v>
      </c>
      <c r="F358">
        <v>145</v>
      </c>
      <c r="G358" s="11">
        <v>0.17</v>
      </c>
      <c r="H358" s="11">
        <v>0.12</v>
      </c>
      <c r="I358" s="8">
        <f t="shared" si="18"/>
        <v>110.295</v>
      </c>
      <c r="J358" s="10">
        <v>1.1499999999999999</v>
      </c>
      <c r="K358" s="9">
        <f t="shared" si="19"/>
        <v>126.83924999999999</v>
      </c>
      <c r="L358" s="11">
        <v>0.1</v>
      </c>
      <c r="M358" s="15">
        <f t="shared" si="20"/>
        <v>139.52317500000001</v>
      </c>
    </row>
    <row r="359" spans="1:13" x14ac:dyDescent="0.25">
      <c r="A359" t="s">
        <v>694</v>
      </c>
      <c r="B359" t="s">
        <v>695</v>
      </c>
      <c r="C359" s="6" t="str">
        <f>VLOOKUP(A359,'[1]PRECIOS NUEVOS'!$A:$C,3,0)</f>
        <v>Embregue completo bi mat</v>
      </c>
      <c r="D359">
        <v>1</v>
      </c>
      <c r="E359">
        <v>85.5</v>
      </c>
      <c r="F359">
        <v>145</v>
      </c>
      <c r="G359" s="11">
        <v>0.17</v>
      </c>
      <c r="H359" s="11">
        <v>0.12</v>
      </c>
      <c r="I359" s="8">
        <f t="shared" si="18"/>
        <v>110.295</v>
      </c>
      <c r="J359" s="10">
        <v>1.1499999999999999</v>
      </c>
      <c r="K359" s="9">
        <f t="shared" si="19"/>
        <v>126.83924999999999</v>
      </c>
      <c r="L359" s="11">
        <v>0.1</v>
      </c>
      <c r="M359" s="15">
        <f t="shared" si="20"/>
        <v>139.52317500000001</v>
      </c>
    </row>
    <row r="360" spans="1:13" x14ac:dyDescent="0.25">
      <c r="A360" t="s">
        <v>696</v>
      </c>
      <c r="B360" t="s">
        <v>697</v>
      </c>
      <c r="C360" s="6" t="e">
        <f>VLOOKUP(A360,'[1]PRECIOS NUEVOS'!$A:$C,3,0)</f>
        <v>#N/A</v>
      </c>
      <c r="D360">
        <v>1</v>
      </c>
      <c r="E360">
        <v>85.5</v>
      </c>
      <c r="F360">
        <v>145</v>
      </c>
      <c r="G360" s="11">
        <v>0.17</v>
      </c>
      <c r="H360" s="11">
        <v>0.12</v>
      </c>
      <c r="I360" s="8">
        <f t="shared" si="18"/>
        <v>110.295</v>
      </c>
      <c r="J360" s="10">
        <v>1.1499999999999999</v>
      </c>
      <c r="K360" s="9">
        <f t="shared" si="19"/>
        <v>126.83924999999999</v>
      </c>
      <c r="L360" s="11">
        <v>0.1</v>
      </c>
      <c r="M360" s="15">
        <f t="shared" si="20"/>
        <v>139.52317500000001</v>
      </c>
    </row>
    <row r="361" spans="1:13" x14ac:dyDescent="0.25">
      <c r="A361" t="s">
        <v>698</v>
      </c>
      <c r="B361" t="s">
        <v>699</v>
      </c>
      <c r="C361" s="6" t="str">
        <f>VLOOKUP(A361,'[1]PRECIOS NUEVOS'!$A:$C,3,0)</f>
        <v>zapatas bimetal</v>
      </c>
      <c r="D361">
        <v>3</v>
      </c>
      <c r="E361">
        <v>31</v>
      </c>
      <c r="F361">
        <v>54</v>
      </c>
      <c r="G361" s="11">
        <v>0.17</v>
      </c>
      <c r="H361" s="11">
        <v>0.12</v>
      </c>
      <c r="I361" s="8">
        <f t="shared" si="18"/>
        <v>39.99</v>
      </c>
      <c r="J361" s="10">
        <v>1.1499999999999999</v>
      </c>
      <c r="K361" s="9">
        <f t="shared" si="19"/>
        <v>45.988500000000002</v>
      </c>
      <c r="L361" s="11">
        <v>0.1</v>
      </c>
      <c r="M361" s="15">
        <f t="shared" si="20"/>
        <v>50.587350000000008</v>
      </c>
    </row>
    <row r="362" spans="1:13" x14ac:dyDescent="0.25">
      <c r="A362" t="s">
        <v>700</v>
      </c>
      <c r="B362" t="s">
        <v>701</v>
      </c>
      <c r="C362" s="6" t="e">
        <f>VLOOKUP(A362,'[1]PRECIOS NUEVOS'!$A:$C,3,0)</f>
        <v>#N/A</v>
      </c>
      <c r="D362">
        <v>1</v>
      </c>
      <c r="E362">
        <v>85.5</v>
      </c>
      <c r="F362">
        <v>145</v>
      </c>
      <c r="G362" s="11">
        <v>0.17</v>
      </c>
      <c r="H362" s="11">
        <v>0.12</v>
      </c>
      <c r="I362" s="8">
        <f t="shared" si="18"/>
        <v>110.295</v>
      </c>
      <c r="J362" s="10">
        <v>1.1499999999999999</v>
      </c>
      <c r="K362" s="9">
        <f t="shared" si="19"/>
        <v>126.83924999999999</v>
      </c>
      <c r="L362" s="11">
        <v>0.1</v>
      </c>
      <c r="M362" s="15">
        <f t="shared" si="20"/>
        <v>139.52317500000001</v>
      </c>
    </row>
    <row r="363" spans="1:13" x14ac:dyDescent="0.25">
      <c r="A363" t="s">
        <v>702</v>
      </c>
      <c r="B363" t="s">
        <v>703</v>
      </c>
      <c r="C363" s="6" t="e">
        <f>VLOOKUP(A363,'[1]PRECIOS NUEVOS'!$A:$C,3,0)</f>
        <v>#N/A</v>
      </c>
      <c r="D363">
        <v>1</v>
      </c>
      <c r="E363">
        <v>88</v>
      </c>
      <c r="F363">
        <v>149</v>
      </c>
      <c r="G363" s="11">
        <v>0.17</v>
      </c>
      <c r="H363" s="11">
        <v>0.12</v>
      </c>
      <c r="I363" s="8">
        <f t="shared" si="18"/>
        <v>113.52000000000001</v>
      </c>
      <c r="J363" s="10">
        <v>1.1499999999999999</v>
      </c>
      <c r="K363" s="9">
        <f t="shared" si="19"/>
        <v>130.548</v>
      </c>
      <c r="L363" s="11">
        <v>0.1</v>
      </c>
      <c r="M363" s="15">
        <f t="shared" si="20"/>
        <v>143.6028</v>
      </c>
    </row>
    <row r="364" spans="1:13" x14ac:dyDescent="0.25">
      <c r="A364" t="s">
        <v>704</v>
      </c>
      <c r="B364" t="s">
        <v>705</v>
      </c>
      <c r="C364" s="6" t="e">
        <f>VLOOKUP(A364,'[1]PRECIOS NUEVOS'!$A:$C,3,0)</f>
        <v>#N/A</v>
      </c>
      <c r="D364">
        <v>1</v>
      </c>
      <c r="E364">
        <v>88</v>
      </c>
      <c r="F364">
        <v>149</v>
      </c>
      <c r="G364" s="11">
        <v>0.17</v>
      </c>
      <c r="H364" s="11">
        <v>0.12</v>
      </c>
      <c r="I364" s="8">
        <f t="shared" si="18"/>
        <v>113.52000000000001</v>
      </c>
      <c r="J364" s="10">
        <v>1.1499999999999999</v>
      </c>
      <c r="K364" s="9">
        <f t="shared" si="19"/>
        <v>130.548</v>
      </c>
      <c r="L364" s="11">
        <v>0.1</v>
      </c>
      <c r="M364" s="15">
        <f t="shared" si="20"/>
        <v>143.6028</v>
      </c>
    </row>
    <row r="365" spans="1:13" x14ac:dyDescent="0.25">
      <c r="A365" t="s">
        <v>706</v>
      </c>
      <c r="B365" t="s">
        <v>707</v>
      </c>
      <c r="C365" s="6" t="e">
        <f>VLOOKUP(A365,'[1]PRECIOS NUEVOS'!$A:$C,3,0)</f>
        <v>#N/A</v>
      </c>
      <c r="D365">
        <v>1</v>
      </c>
      <c r="E365">
        <v>28.5</v>
      </c>
      <c r="F365">
        <v>49.5</v>
      </c>
      <c r="G365" s="11">
        <v>0.17</v>
      </c>
      <c r="H365" s="11">
        <v>0.12</v>
      </c>
      <c r="I365" s="8">
        <f t="shared" si="18"/>
        <v>36.765000000000001</v>
      </c>
      <c r="J365" s="10">
        <v>1.1499999999999999</v>
      </c>
      <c r="K365" s="9">
        <f t="shared" si="19"/>
        <v>42.27975</v>
      </c>
      <c r="L365" s="11">
        <v>0.1</v>
      </c>
      <c r="M365" s="15">
        <f t="shared" si="20"/>
        <v>46.507725000000001</v>
      </c>
    </row>
    <row r="366" spans="1:13" x14ac:dyDescent="0.25">
      <c r="A366" t="s">
        <v>708</v>
      </c>
      <c r="B366" t="s">
        <v>709</v>
      </c>
      <c r="C366" s="6" t="e">
        <f>VLOOKUP(A366,'[1]PRECIOS NUEVOS'!$A:$C,3,0)</f>
        <v>#N/A</v>
      </c>
      <c r="D366">
        <v>1</v>
      </c>
      <c r="E366">
        <v>18</v>
      </c>
      <c r="F366">
        <v>31.5</v>
      </c>
      <c r="G366" s="11">
        <v>0.17</v>
      </c>
      <c r="H366" s="11">
        <v>0.12</v>
      </c>
      <c r="I366" s="8">
        <f t="shared" si="18"/>
        <v>23.22</v>
      </c>
      <c r="J366" s="10">
        <v>1.1499999999999999</v>
      </c>
      <c r="K366" s="9">
        <f t="shared" si="19"/>
        <v>26.702999999999996</v>
      </c>
      <c r="L366" s="11">
        <v>0.1</v>
      </c>
      <c r="M366" s="15">
        <f t="shared" si="20"/>
        <v>29.373299999999997</v>
      </c>
    </row>
    <row r="367" spans="1:13" x14ac:dyDescent="0.25">
      <c r="A367" t="s">
        <v>710</v>
      </c>
      <c r="B367" t="s">
        <v>711</v>
      </c>
      <c r="C367" s="6" t="e">
        <f>VLOOKUP(A367,'[1]PRECIOS NUEVOS'!$A:$C,3,0)</f>
        <v>#N/A</v>
      </c>
      <c r="D367">
        <v>3</v>
      </c>
      <c r="E367">
        <v>5.5</v>
      </c>
      <c r="F367">
        <v>10</v>
      </c>
      <c r="G367" s="11">
        <v>0.17</v>
      </c>
      <c r="H367" s="11">
        <v>0.12</v>
      </c>
      <c r="I367" s="8">
        <f t="shared" si="18"/>
        <v>7.0950000000000006</v>
      </c>
      <c r="J367" s="10">
        <v>1.1499999999999999</v>
      </c>
      <c r="K367" s="9">
        <f t="shared" si="19"/>
        <v>8.1592500000000001</v>
      </c>
      <c r="L367" s="11">
        <v>0.1</v>
      </c>
      <c r="M367" s="15">
        <f t="shared" si="20"/>
        <v>8.9751750000000001</v>
      </c>
    </row>
    <row r="368" spans="1:13" x14ac:dyDescent="0.25">
      <c r="C368" s="6" t="e">
        <f>VLOOKUP(A368,'[1]PRECIOS NUEVOS'!$A:$C,3,0)</f>
        <v>#N/A</v>
      </c>
      <c r="G368" s="11">
        <v>0.17</v>
      </c>
      <c r="H368" s="11">
        <v>0.12</v>
      </c>
      <c r="I368" s="8">
        <f t="shared" si="18"/>
        <v>0</v>
      </c>
      <c r="J368" s="10">
        <v>1.1499999999999999</v>
      </c>
      <c r="K368" s="9">
        <f t="shared" si="19"/>
        <v>0</v>
      </c>
      <c r="L368" s="11">
        <v>0.1</v>
      </c>
      <c r="M368" s="15">
        <f t="shared" si="20"/>
        <v>0</v>
      </c>
    </row>
    <row r="369" spans="1:13" x14ac:dyDescent="0.25">
      <c r="A369" t="s">
        <v>712</v>
      </c>
      <c r="C369" s="6" t="e">
        <f>VLOOKUP(A369,'[1]PRECIOS NUEVOS'!$A:$C,3,0)</f>
        <v>#N/A</v>
      </c>
      <c r="D369">
        <v>1</v>
      </c>
      <c r="E369">
        <v>198</v>
      </c>
      <c r="F369">
        <v>315</v>
      </c>
      <c r="G369" s="11">
        <v>0.17</v>
      </c>
      <c r="H369" s="11">
        <v>0.12</v>
      </c>
      <c r="I369" s="8">
        <f t="shared" si="18"/>
        <v>255.42000000000002</v>
      </c>
      <c r="J369" s="10">
        <v>1.1499999999999999</v>
      </c>
      <c r="K369" s="9">
        <f t="shared" si="19"/>
        <v>293.733</v>
      </c>
      <c r="L369" s="11">
        <v>0.1</v>
      </c>
      <c r="M369" s="15">
        <f t="shared" si="20"/>
        <v>323.10630000000003</v>
      </c>
    </row>
    <row r="370" spans="1:13" x14ac:dyDescent="0.25">
      <c r="A370" t="s">
        <v>713</v>
      </c>
      <c r="C370" s="6" t="e">
        <f>VLOOKUP(A370,'[1]PRECIOS NUEVOS'!$A:$C,3,0)</f>
        <v>#N/A</v>
      </c>
      <c r="D370">
        <v>1</v>
      </c>
      <c r="E370">
        <v>198</v>
      </c>
      <c r="F370">
        <v>315</v>
      </c>
      <c r="G370" s="11">
        <v>0.17</v>
      </c>
      <c r="H370" s="11">
        <v>0.12</v>
      </c>
      <c r="I370" s="8">
        <f t="shared" si="18"/>
        <v>255.42000000000002</v>
      </c>
      <c r="J370" s="10">
        <v>1.1499999999999999</v>
      </c>
      <c r="K370" s="9">
        <f t="shared" si="19"/>
        <v>293.733</v>
      </c>
      <c r="L370" s="11">
        <v>0.1</v>
      </c>
      <c r="M370" s="15">
        <f t="shared" si="20"/>
        <v>323.10630000000003</v>
      </c>
    </row>
    <row r="371" spans="1:13" x14ac:dyDescent="0.25">
      <c r="A371" t="s">
        <v>714</v>
      </c>
      <c r="C371" s="6" t="e">
        <f>VLOOKUP(A371,'[1]PRECIOS NUEVOS'!$A:$C,3,0)</f>
        <v>#N/A</v>
      </c>
      <c r="D371">
        <v>1</v>
      </c>
      <c r="E371">
        <v>99</v>
      </c>
      <c r="F371">
        <v>158</v>
      </c>
      <c r="G371" s="11">
        <v>0.17</v>
      </c>
      <c r="H371" s="11">
        <v>0.12</v>
      </c>
      <c r="I371" s="8">
        <f t="shared" si="18"/>
        <v>127.71000000000001</v>
      </c>
      <c r="J371" s="10">
        <v>1.1499999999999999</v>
      </c>
      <c r="K371" s="9">
        <f t="shared" si="19"/>
        <v>146.8665</v>
      </c>
      <c r="L371" s="11">
        <v>0.1</v>
      </c>
      <c r="M371" s="15">
        <f t="shared" si="20"/>
        <v>161.55315000000002</v>
      </c>
    </row>
    <row r="372" spans="1:13" x14ac:dyDescent="0.25">
      <c r="A372" t="s">
        <v>715</v>
      </c>
      <c r="C372" s="6" t="e">
        <f>VLOOKUP(A372,'[1]PRECIOS NUEVOS'!$A:$C,3,0)</f>
        <v>#N/A</v>
      </c>
      <c r="D372">
        <v>1</v>
      </c>
      <c r="E372">
        <v>99</v>
      </c>
      <c r="F372">
        <v>158</v>
      </c>
      <c r="G372" s="11">
        <v>0.17</v>
      </c>
      <c r="H372" s="11">
        <v>0.12</v>
      </c>
      <c r="I372" s="8">
        <f t="shared" si="18"/>
        <v>127.71000000000001</v>
      </c>
      <c r="J372" s="10">
        <v>1.1499999999999999</v>
      </c>
      <c r="K372" s="9">
        <f t="shared" si="19"/>
        <v>146.8665</v>
      </c>
      <c r="L372" s="11">
        <v>0.1</v>
      </c>
      <c r="M372" s="15">
        <f t="shared" si="20"/>
        <v>161.55315000000002</v>
      </c>
    </row>
    <row r="373" spans="1:13" x14ac:dyDescent="0.25">
      <c r="A373" t="s">
        <v>716</v>
      </c>
      <c r="C373" s="6" t="str">
        <f>VLOOKUP(A373,'[1]PRECIOS NUEVOS'!$A:$C,3,0)</f>
        <v>PERNO DE BOMBA</v>
      </c>
      <c r="D373">
        <v>4</v>
      </c>
      <c r="E373">
        <v>1.65</v>
      </c>
      <c r="F373">
        <v>3</v>
      </c>
      <c r="G373" s="11">
        <v>0.17</v>
      </c>
      <c r="H373" s="11">
        <v>0.12</v>
      </c>
      <c r="I373" s="8">
        <f t="shared" si="18"/>
        <v>2.1284999999999998</v>
      </c>
      <c r="J373" s="10">
        <v>1.1499999999999999</v>
      </c>
      <c r="K373" s="9">
        <f t="shared" si="19"/>
        <v>2.4477749999999996</v>
      </c>
      <c r="L373" s="11">
        <v>0.1</v>
      </c>
      <c r="M373" s="15">
        <f t="shared" si="20"/>
        <v>2.6925524999999997</v>
      </c>
    </row>
    <row r="374" spans="1:13" x14ac:dyDescent="0.25">
      <c r="A374" t="s">
        <v>717</v>
      </c>
      <c r="C374" s="6" t="str">
        <f>VLOOKUP(A374,'[1]PRECIOS NUEVOS'!$A:$C,3,0)</f>
        <v>PALANCA DE ACCION DE BOMBA</v>
      </c>
      <c r="D374">
        <v>1</v>
      </c>
      <c r="E374">
        <v>5.5</v>
      </c>
      <c r="F374">
        <v>10.1</v>
      </c>
      <c r="G374" s="11">
        <v>0.17</v>
      </c>
      <c r="H374" s="11">
        <v>0.12</v>
      </c>
      <c r="I374" s="8">
        <f t="shared" si="18"/>
        <v>7.0950000000000006</v>
      </c>
      <c r="J374" s="10">
        <v>1.1499999999999999</v>
      </c>
      <c r="K374" s="9">
        <f t="shared" si="19"/>
        <v>8.1592500000000001</v>
      </c>
      <c r="L374" s="11">
        <v>0.1</v>
      </c>
      <c r="M374" s="15">
        <f t="shared" si="20"/>
        <v>8.9751750000000001</v>
      </c>
    </row>
    <row r="375" spans="1:13" x14ac:dyDescent="0.25">
      <c r="A375" t="s">
        <v>718</v>
      </c>
      <c r="C375" s="6" t="str">
        <f>VLOOKUP(A375,'[1]PRECIOS NUEVOS'!$A:$C,3,0)</f>
        <v>ENCASTRE DE PALANCA</v>
      </c>
      <c r="D375">
        <v>1</v>
      </c>
      <c r="E375">
        <v>5.5</v>
      </c>
      <c r="F375">
        <v>10.1</v>
      </c>
      <c r="G375" s="11">
        <v>0.17</v>
      </c>
      <c r="H375" s="11">
        <v>0.12</v>
      </c>
      <c r="I375" s="8">
        <f t="shared" si="18"/>
        <v>7.0950000000000006</v>
      </c>
      <c r="J375" s="10">
        <v>1.1499999999999999</v>
      </c>
      <c r="K375" s="9">
        <f t="shared" si="19"/>
        <v>8.1592500000000001</v>
      </c>
      <c r="L375" s="11">
        <v>0.1</v>
      </c>
      <c r="M375" s="15">
        <f t="shared" si="20"/>
        <v>8.9751750000000001</v>
      </c>
    </row>
    <row r="376" spans="1:13" x14ac:dyDescent="0.25">
      <c r="A376" t="s">
        <v>719</v>
      </c>
      <c r="C376" s="6" t="str">
        <f>VLOOKUP(A376,'[1]PRECIOS NUEVOS'!$A:$C,3,0)</f>
        <v>FUELLE DE BOMBA</v>
      </c>
      <c r="D376">
        <v>2</v>
      </c>
      <c r="E376">
        <v>2.2000000000000002</v>
      </c>
      <c r="F376">
        <v>4</v>
      </c>
      <c r="G376" s="11">
        <v>0.17</v>
      </c>
      <c r="H376" s="11">
        <v>0.12</v>
      </c>
      <c r="I376" s="8">
        <f t="shared" si="18"/>
        <v>2.8380000000000005</v>
      </c>
      <c r="J376" s="10">
        <v>1.1499999999999999</v>
      </c>
      <c r="K376" s="9">
        <f t="shared" si="19"/>
        <v>3.2637000000000005</v>
      </c>
      <c r="L376" s="11">
        <v>0.1</v>
      </c>
      <c r="M376" s="15">
        <f t="shared" si="20"/>
        <v>3.5900700000000008</v>
      </c>
    </row>
    <row r="377" spans="1:13" x14ac:dyDescent="0.25">
      <c r="A377" t="s">
        <v>720</v>
      </c>
      <c r="C377" s="6" t="str">
        <f>VLOOKUP(A377,'[1]PRECIOS NUEVOS'!$A:$C,3,0)</f>
        <v>PISTON DE FRENO DE BOMBA</v>
      </c>
      <c r="D377">
        <v>1</v>
      </c>
      <c r="E377">
        <v>16.5</v>
      </c>
      <c r="F377">
        <v>28.7</v>
      </c>
      <c r="G377" s="11">
        <v>0.17</v>
      </c>
      <c r="H377" s="11">
        <v>0.12</v>
      </c>
      <c r="I377" s="8">
        <f t="shared" si="18"/>
        <v>21.285</v>
      </c>
      <c r="J377" s="10">
        <v>1.1499999999999999</v>
      </c>
      <c r="K377" s="9">
        <f t="shared" si="19"/>
        <v>24.477749999999997</v>
      </c>
      <c r="L377" s="11">
        <v>0.1</v>
      </c>
      <c r="M377" s="15">
        <f t="shared" si="20"/>
        <v>26.925525</v>
      </c>
    </row>
    <row r="378" spans="1:13" x14ac:dyDescent="0.25">
      <c r="A378" t="s">
        <v>721</v>
      </c>
      <c r="C378" s="6" t="str">
        <f>VLOOKUP(A378,'[1]PRECIOS NUEVOS'!$A:$C,3,0)</f>
        <v>RESORTE DE FRENO</v>
      </c>
      <c r="D378">
        <v>2</v>
      </c>
      <c r="E378">
        <v>2.2999999999999998</v>
      </c>
      <c r="F378">
        <v>4.2</v>
      </c>
      <c r="G378" s="11">
        <v>0.17</v>
      </c>
      <c r="H378" s="11">
        <v>0.12</v>
      </c>
      <c r="I378" s="8">
        <f t="shared" si="18"/>
        <v>2.9669999999999996</v>
      </c>
      <c r="J378" s="10">
        <v>1.1499999999999999</v>
      </c>
      <c r="K378" s="9">
        <f t="shared" si="19"/>
        <v>3.4120499999999994</v>
      </c>
      <c r="L378" s="11">
        <v>0.1</v>
      </c>
      <c r="M378" s="15">
        <f t="shared" si="20"/>
        <v>3.7532549999999998</v>
      </c>
    </row>
    <row r="379" spans="1:13" x14ac:dyDescent="0.25">
      <c r="A379" t="s">
        <v>722</v>
      </c>
      <c r="C379" s="6" t="str">
        <f>VLOOKUP(A379,'[1]PRECIOS NUEVOS'!$A:$C,3,0)</f>
        <v>PERNO DE PIVOT</v>
      </c>
      <c r="D379">
        <v>4</v>
      </c>
      <c r="E379">
        <v>1.65</v>
      </c>
      <c r="F379">
        <v>3</v>
      </c>
      <c r="G379" s="11">
        <v>0.17</v>
      </c>
      <c r="H379" s="11">
        <v>0.12</v>
      </c>
      <c r="I379" s="8">
        <f t="shared" si="18"/>
        <v>2.1284999999999998</v>
      </c>
      <c r="J379" s="10">
        <v>1.1499999999999999</v>
      </c>
      <c r="K379" s="9">
        <f t="shared" si="19"/>
        <v>2.4477749999999996</v>
      </c>
      <c r="L379" s="11">
        <v>0.1</v>
      </c>
      <c r="M379" s="15">
        <f t="shared" si="20"/>
        <v>2.6925524999999997</v>
      </c>
    </row>
    <row r="380" spans="1:13" x14ac:dyDescent="0.25">
      <c r="A380" t="s">
        <v>723</v>
      </c>
      <c r="C380" s="6" t="str">
        <f>VLOOKUP(A380,'[1]PRECIOS NUEVOS'!$A:$C,3,0)</f>
        <v>CUERPO DE BOMBA</v>
      </c>
      <c r="D380">
        <v>1</v>
      </c>
      <c r="E380">
        <v>45</v>
      </c>
      <c r="F380">
        <v>78.3</v>
      </c>
      <c r="G380" s="11">
        <v>0.17</v>
      </c>
      <c r="H380" s="11">
        <v>0.12</v>
      </c>
      <c r="I380" s="8">
        <f t="shared" si="18"/>
        <v>58.050000000000004</v>
      </c>
      <c r="J380" s="10">
        <v>1.1499999999999999</v>
      </c>
      <c r="K380" s="9">
        <f t="shared" si="19"/>
        <v>66.757499999999993</v>
      </c>
      <c r="L380" s="11">
        <v>0.1</v>
      </c>
      <c r="M380" s="15">
        <f t="shared" si="20"/>
        <v>73.433250000000001</v>
      </c>
    </row>
    <row r="381" spans="1:13" x14ac:dyDescent="0.25">
      <c r="A381" t="s">
        <v>724</v>
      </c>
      <c r="C381" s="6" t="str">
        <f>VLOOKUP(A381,'[1]PRECIOS NUEVOS'!$A:$C,3,0)</f>
        <v>MEMBRANA</v>
      </c>
      <c r="D381">
        <v>2</v>
      </c>
      <c r="E381">
        <v>5.5</v>
      </c>
      <c r="F381" s="1">
        <v>10.1</v>
      </c>
      <c r="G381" s="11">
        <v>0.17</v>
      </c>
      <c r="H381" s="11">
        <v>0.12</v>
      </c>
      <c r="I381" s="8">
        <f t="shared" si="18"/>
        <v>7.0950000000000006</v>
      </c>
      <c r="J381" s="10">
        <v>1.1499999999999999</v>
      </c>
      <c r="K381" s="9">
        <f t="shared" si="19"/>
        <v>8.1592500000000001</v>
      </c>
      <c r="L381" s="11">
        <v>0.1</v>
      </c>
      <c r="M381" s="15">
        <f t="shared" si="20"/>
        <v>8.9751750000000001</v>
      </c>
    </row>
    <row r="382" spans="1:13" x14ac:dyDescent="0.25">
      <c r="A382" t="s">
        <v>725</v>
      </c>
      <c r="C382" s="6" t="str">
        <f>VLOOKUP(A382,'[1]PRECIOS NUEVOS'!$A:$C,3,0)</f>
        <v>TAPA DE BOMBA</v>
      </c>
      <c r="D382">
        <v>1</v>
      </c>
      <c r="E382">
        <v>13.2</v>
      </c>
      <c r="F382">
        <v>23</v>
      </c>
      <c r="G382" s="11">
        <v>0.17</v>
      </c>
      <c r="H382" s="11">
        <v>0.12</v>
      </c>
      <c r="I382" s="8">
        <f t="shared" si="18"/>
        <v>17.027999999999999</v>
      </c>
      <c r="J382" s="10">
        <v>1.1499999999999999</v>
      </c>
      <c r="K382" s="9">
        <f t="shared" si="19"/>
        <v>19.582199999999997</v>
      </c>
      <c r="L382" s="11">
        <v>0.1</v>
      </c>
      <c r="M382" s="15">
        <f t="shared" si="20"/>
        <v>21.540419999999997</v>
      </c>
    </row>
    <row r="383" spans="1:13" x14ac:dyDescent="0.25">
      <c r="A383" t="s">
        <v>726</v>
      </c>
      <c r="C383" s="6" t="str">
        <f>VLOOKUP(A383,'[1]PRECIOS NUEVOS'!$A:$C,3,0)</f>
        <v xml:space="preserve">CEGER DE PISTON </v>
      </c>
      <c r="D383">
        <v>2</v>
      </c>
      <c r="E383">
        <v>1.1000000000000001</v>
      </c>
      <c r="F383">
        <v>2</v>
      </c>
      <c r="G383" s="11">
        <v>0.17</v>
      </c>
      <c r="H383" s="11">
        <v>0.12</v>
      </c>
      <c r="I383" s="8">
        <f t="shared" si="18"/>
        <v>1.4190000000000003</v>
      </c>
      <c r="J383" s="10">
        <v>1.1499999999999999</v>
      </c>
      <c r="K383" s="9">
        <f t="shared" si="19"/>
        <v>1.6318500000000002</v>
      </c>
      <c r="L383" s="11">
        <v>0.1</v>
      </c>
      <c r="M383" s="15">
        <f t="shared" si="20"/>
        <v>1.7950350000000004</v>
      </c>
    </row>
    <row r="384" spans="1:13" x14ac:dyDescent="0.25">
      <c r="A384" t="s">
        <v>727</v>
      </c>
      <c r="B384"/>
      <c r="C384" s="6" t="str">
        <f>VLOOKUP(A384,'[1]PRECIOS NUEVOS'!$A:$C,3,0)</f>
        <v>TORNILLOS DE BOMBA</v>
      </c>
      <c r="D384">
        <v>8</v>
      </c>
      <c r="E384">
        <v>2.75</v>
      </c>
      <c r="F384">
        <v>5</v>
      </c>
      <c r="G384" s="11">
        <v>0.17</v>
      </c>
      <c r="H384" s="11">
        <v>0.12</v>
      </c>
      <c r="I384" s="8">
        <f t="shared" si="18"/>
        <v>3.5475000000000003</v>
      </c>
      <c r="J384" s="10">
        <v>1.1499999999999999</v>
      </c>
      <c r="K384" s="9">
        <f t="shared" si="19"/>
        <v>4.0796250000000001</v>
      </c>
      <c r="L384" s="11">
        <v>0.1</v>
      </c>
      <c r="M384" s="15">
        <f t="shared" si="20"/>
        <v>4.4875875000000001</v>
      </c>
    </row>
    <row r="385" spans="1:13" x14ac:dyDescent="0.25">
      <c r="A385" t="s">
        <v>728</v>
      </c>
      <c r="B385"/>
      <c r="C385" s="6" t="str">
        <f>VLOOKUP(A385,'[1]PRECIOS NUEVOS'!$A:$C,3,0)</f>
        <v>PURGADOR</v>
      </c>
      <c r="D385">
        <v>2</v>
      </c>
      <c r="E385">
        <v>8.25</v>
      </c>
      <c r="F385">
        <v>15.2</v>
      </c>
      <c r="G385" s="11">
        <v>0.17</v>
      </c>
      <c r="H385" s="11">
        <v>0.12</v>
      </c>
      <c r="I385" s="8">
        <f t="shared" si="18"/>
        <v>10.6425</v>
      </c>
      <c r="J385" s="10">
        <v>1.1499999999999999</v>
      </c>
      <c r="K385" s="9">
        <f t="shared" si="19"/>
        <v>12.238874999999998</v>
      </c>
      <c r="L385" s="11">
        <v>0.1</v>
      </c>
      <c r="M385" s="15">
        <f t="shared" si="20"/>
        <v>13.4627625</v>
      </c>
    </row>
    <row r="386" spans="1:13" x14ac:dyDescent="0.25">
      <c r="A386" t="s">
        <v>729</v>
      </c>
      <c r="B386"/>
      <c r="C386" s="6" t="str">
        <f>VLOOKUP(A386,'[1]PRECIOS NUEVOS'!$A:$C,3,0)</f>
        <v>RACKOR DE FRENO</v>
      </c>
      <c r="D386">
        <v>2</v>
      </c>
      <c r="E386">
        <v>8</v>
      </c>
      <c r="F386">
        <v>14.7</v>
      </c>
      <c r="G386" s="11">
        <v>0.17</v>
      </c>
      <c r="H386" s="11">
        <v>0.12</v>
      </c>
      <c r="I386" s="8">
        <f t="shared" si="18"/>
        <v>10.32</v>
      </c>
      <c r="J386" s="10">
        <v>1.1499999999999999</v>
      </c>
      <c r="K386" s="9">
        <f t="shared" si="19"/>
        <v>11.867999999999999</v>
      </c>
      <c r="L386" s="11">
        <v>0.1</v>
      </c>
      <c r="M386" s="15">
        <f t="shared" si="20"/>
        <v>13.0548</v>
      </c>
    </row>
    <row r="387" spans="1:13" ht="30" x14ac:dyDescent="0.25">
      <c r="A387" t="s">
        <v>730</v>
      </c>
      <c r="B387"/>
      <c r="C387" s="6" t="str">
        <f>VLOOKUP(A387,'[1]PRECIOS NUEVOS'!$A:$C,3,0)</f>
        <v>ALOJAMIENTO DE PERNO DE PIVOT</v>
      </c>
      <c r="D387">
        <v>1</v>
      </c>
      <c r="E387">
        <v>9</v>
      </c>
      <c r="F387">
        <v>16.5</v>
      </c>
      <c r="G387" s="11">
        <v>0.17</v>
      </c>
      <c r="H387" s="11">
        <v>0.12</v>
      </c>
      <c r="I387" s="8">
        <f t="shared" si="18"/>
        <v>11.61</v>
      </c>
      <c r="J387" s="10">
        <v>1.1499999999999999</v>
      </c>
      <c r="K387" s="9">
        <f t="shared" si="19"/>
        <v>13.351499999999998</v>
      </c>
      <c r="L387" s="11">
        <v>0.1</v>
      </c>
      <c r="M387" s="15">
        <f t="shared" si="20"/>
        <v>14.686649999999998</v>
      </c>
    </row>
    <row r="388" spans="1:13" x14ac:dyDescent="0.25">
      <c r="A388" t="s">
        <v>731</v>
      </c>
      <c r="B388"/>
      <c r="C388" s="6" t="e">
        <f>VLOOKUP(A388,'[1]PRECIOS NUEVOS'!$A:$C,3,0)</f>
        <v>#N/A</v>
      </c>
      <c r="D388">
        <v>1</v>
      </c>
      <c r="E388">
        <v>65</v>
      </c>
      <c r="F388">
        <v>113</v>
      </c>
      <c r="G388" s="11">
        <v>0.17</v>
      </c>
      <c r="H388" s="11">
        <v>0.12</v>
      </c>
      <c r="I388" s="8">
        <f t="shared" si="18"/>
        <v>83.850000000000009</v>
      </c>
      <c r="J388" s="10">
        <v>1.1499999999999999</v>
      </c>
      <c r="K388" s="9">
        <f t="shared" si="19"/>
        <v>96.427500000000009</v>
      </c>
      <c r="L388" s="11">
        <v>0.1</v>
      </c>
      <c r="M388" s="15">
        <f t="shared" si="20"/>
        <v>106.07025000000002</v>
      </c>
    </row>
    <row r="389" spans="1:13" x14ac:dyDescent="0.25">
      <c r="A389" t="s">
        <v>732</v>
      </c>
      <c r="B389"/>
      <c r="C389" s="6" t="e">
        <f>VLOOKUP(A389,'[1]PRECIOS NUEVOS'!$A:$C,3,0)</f>
        <v>#N/A</v>
      </c>
      <c r="D389">
        <v>1</v>
      </c>
      <c r="E389">
        <v>65</v>
      </c>
      <c r="F389">
        <v>113</v>
      </c>
      <c r="G389" s="11">
        <v>0.17</v>
      </c>
      <c r="H389" s="11">
        <v>0.12</v>
      </c>
      <c r="I389" s="8">
        <f t="shared" si="18"/>
        <v>83.850000000000009</v>
      </c>
      <c r="J389" s="10">
        <v>1.1499999999999999</v>
      </c>
      <c r="K389" s="9">
        <f t="shared" si="19"/>
        <v>96.427500000000009</v>
      </c>
      <c r="L389" s="11">
        <v>0.1</v>
      </c>
      <c r="M389" s="15">
        <f t="shared" si="20"/>
        <v>106.07025000000002</v>
      </c>
    </row>
    <row r="390" spans="1:13" ht="30" x14ac:dyDescent="0.25">
      <c r="A390" t="s">
        <v>733</v>
      </c>
      <c r="B390"/>
      <c r="C390" s="6" t="str">
        <f>VLOOKUP(A390,'[1]PRECIOS NUEVOS'!$A:$C,3,0)</f>
        <v>tornillo que agarra pieza donde aprieta caliper</v>
      </c>
      <c r="D390">
        <v>8</v>
      </c>
      <c r="E390">
        <v>2.2000000000000002</v>
      </c>
      <c r="F390">
        <v>4</v>
      </c>
      <c r="G390" s="11">
        <v>0.17</v>
      </c>
      <c r="H390" s="11">
        <v>0.12</v>
      </c>
      <c r="I390" s="8">
        <f t="shared" si="18"/>
        <v>2.8380000000000005</v>
      </c>
      <c r="J390" s="10">
        <v>1.1499999999999999</v>
      </c>
      <c r="K390" s="9">
        <f t="shared" si="19"/>
        <v>3.2637000000000005</v>
      </c>
      <c r="L390" s="11">
        <v>0.1</v>
      </c>
      <c r="M390" s="15">
        <f t="shared" si="20"/>
        <v>3.5900700000000008</v>
      </c>
    </row>
    <row r="391" spans="1:13" x14ac:dyDescent="0.25">
      <c r="A391" t="s">
        <v>734</v>
      </c>
      <c r="B391"/>
      <c r="C391" s="6" t="str">
        <f>VLOOKUP(A391,'[1]PRECIOS NUEVOS'!$A:$C,3,0)</f>
        <v>tornillo de caliper</v>
      </c>
      <c r="D391">
        <v>8</v>
      </c>
      <c r="E391">
        <v>2.2000000000000002</v>
      </c>
      <c r="F391">
        <v>4</v>
      </c>
      <c r="G391" s="11">
        <v>0.17</v>
      </c>
      <c r="H391" s="11">
        <v>0.12</v>
      </c>
      <c r="I391" s="8">
        <f t="shared" si="18"/>
        <v>2.8380000000000005</v>
      </c>
      <c r="J391" s="10">
        <v>1.1499999999999999</v>
      </c>
      <c r="K391" s="9">
        <f t="shared" si="19"/>
        <v>3.2637000000000005</v>
      </c>
      <c r="L391" s="11">
        <v>0.1</v>
      </c>
      <c r="M391" s="15">
        <f t="shared" si="20"/>
        <v>3.5900700000000008</v>
      </c>
    </row>
    <row r="392" spans="1:13" x14ac:dyDescent="0.25">
      <c r="A392" t="s">
        <v>735</v>
      </c>
      <c r="B392"/>
      <c r="C392" s="6" t="str">
        <f>VLOOKUP(A392,'[1]PRECIOS NUEVOS'!$A:$C,3,0)</f>
        <v>reten de piston</v>
      </c>
      <c r="D392">
        <v>1</v>
      </c>
      <c r="E392">
        <v>2.4</v>
      </c>
      <c r="F392">
        <v>4.4000000000000004</v>
      </c>
      <c r="G392" s="11">
        <v>0.17</v>
      </c>
      <c r="H392" s="11">
        <v>0.12</v>
      </c>
      <c r="I392" s="8">
        <f t="shared" si="18"/>
        <v>3.0960000000000001</v>
      </c>
      <c r="J392" s="10">
        <v>1.1499999999999999</v>
      </c>
      <c r="K392" s="9">
        <f t="shared" si="19"/>
        <v>3.5604</v>
      </c>
      <c r="L392" s="11">
        <v>0.1</v>
      </c>
      <c r="M392" s="15">
        <f t="shared" si="20"/>
        <v>3.9164400000000001</v>
      </c>
    </row>
    <row r="393" spans="1:13" x14ac:dyDescent="0.25">
      <c r="A393" t="s">
        <v>736</v>
      </c>
      <c r="B393"/>
      <c r="C393" s="6" t="str">
        <f>VLOOKUP(A393,'[1]PRECIOS NUEVOS'!$A:$C,3,0)</f>
        <v xml:space="preserve">piston de caliper </v>
      </c>
      <c r="D393">
        <v>1</v>
      </c>
      <c r="E393">
        <v>4.4000000000000004</v>
      </c>
      <c r="F393">
        <v>8</v>
      </c>
      <c r="G393" s="11">
        <v>0.17</v>
      </c>
      <c r="H393" s="11">
        <v>0.12</v>
      </c>
      <c r="I393" s="8">
        <f t="shared" si="18"/>
        <v>5.676000000000001</v>
      </c>
      <c r="J393" s="10">
        <v>1.1499999999999999</v>
      </c>
      <c r="K393" s="9">
        <f t="shared" si="19"/>
        <v>6.527400000000001</v>
      </c>
      <c r="L393" s="11">
        <v>0.1</v>
      </c>
      <c r="M393" s="15">
        <f t="shared" si="20"/>
        <v>7.1801400000000015</v>
      </c>
    </row>
    <row r="394" spans="1:13" x14ac:dyDescent="0.25">
      <c r="A394" t="s">
        <v>737</v>
      </c>
      <c r="B394"/>
      <c r="C394" s="6" t="str">
        <f>VLOOKUP(A394,'[1]PRECIOS NUEVOS'!$A:$C,3,0)</f>
        <v>oring de piston</v>
      </c>
      <c r="D394">
        <v>4</v>
      </c>
      <c r="E394">
        <v>2.75</v>
      </c>
      <c r="F394">
        <v>5</v>
      </c>
      <c r="G394" s="11">
        <v>0.17</v>
      </c>
      <c r="H394" s="11">
        <v>0.12</v>
      </c>
      <c r="I394" s="8">
        <f t="shared" si="18"/>
        <v>3.5475000000000003</v>
      </c>
      <c r="J394" s="10">
        <v>1.1499999999999999</v>
      </c>
      <c r="K394" s="9">
        <f t="shared" si="19"/>
        <v>4.0796250000000001</v>
      </c>
      <c r="L394" s="11">
        <v>0.1</v>
      </c>
      <c r="M394" s="15">
        <f t="shared" si="20"/>
        <v>4.4875875000000001</v>
      </c>
    </row>
    <row r="395" spans="1:13" x14ac:dyDescent="0.25">
      <c r="A395" t="s">
        <v>738</v>
      </c>
      <c r="B395"/>
      <c r="C395" s="6" t="str">
        <f>VLOOKUP(A395,'[1]PRECIOS NUEVOS'!$A:$C,3,0)</f>
        <v>perno de caliper</v>
      </c>
      <c r="D395">
        <v>4</v>
      </c>
      <c r="E395">
        <v>1.1000000000000001</v>
      </c>
      <c r="F395">
        <v>2</v>
      </c>
      <c r="G395" s="11">
        <v>0.17</v>
      </c>
      <c r="H395" s="11">
        <v>0.12</v>
      </c>
      <c r="I395" s="8">
        <f t="shared" si="18"/>
        <v>1.4190000000000003</v>
      </c>
      <c r="J395" s="10">
        <v>1.1499999999999999</v>
      </c>
      <c r="K395" s="9">
        <f t="shared" si="19"/>
        <v>1.6318500000000002</v>
      </c>
      <c r="L395" s="11">
        <v>0.1</v>
      </c>
      <c r="M395" s="15">
        <f t="shared" si="20"/>
        <v>1.7950350000000004</v>
      </c>
    </row>
    <row r="396" spans="1:13" x14ac:dyDescent="0.25">
      <c r="A396" t="s">
        <v>739</v>
      </c>
      <c r="B396"/>
      <c r="C396" s="6" t="str">
        <f>VLOOKUP(A396,'[1]PRECIOS NUEVOS'!$A:$C,3,0)</f>
        <v xml:space="preserve">pastilla de freno </v>
      </c>
      <c r="D396">
        <v>4</v>
      </c>
      <c r="E396">
        <v>16.5</v>
      </c>
      <c r="F396">
        <v>28.7</v>
      </c>
      <c r="G396" s="11">
        <v>0.17</v>
      </c>
      <c r="H396" s="11">
        <v>0.12</v>
      </c>
      <c r="I396" s="8">
        <f t="shared" si="18"/>
        <v>21.285</v>
      </c>
      <c r="J396" s="10">
        <v>1.1499999999999999</v>
      </c>
      <c r="K396" s="9">
        <f t="shared" si="19"/>
        <v>24.477749999999997</v>
      </c>
      <c r="L396" s="11">
        <v>0.1</v>
      </c>
      <c r="M396" s="15">
        <f t="shared" si="20"/>
        <v>26.925525</v>
      </c>
    </row>
    <row r="397" spans="1:13" x14ac:dyDescent="0.25">
      <c r="A397" t="s">
        <v>740</v>
      </c>
      <c r="B397"/>
      <c r="C397" s="6" t="str">
        <f>VLOOKUP(A397,'[1]PRECIOS NUEVOS'!$A:$C,3,0)</f>
        <v>resorte de caliper</v>
      </c>
      <c r="D397">
        <v>8</v>
      </c>
      <c r="E397">
        <v>4.2</v>
      </c>
      <c r="F397">
        <v>7.7</v>
      </c>
      <c r="G397" s="11">
        <v>0.17</v>
      </c>
      <c r="H397" s="11">
        <v>0.12</v>
      </c>
      <c r="I397" s="8">
        <f t="shared" si="18"/>
        <v>5.4180000000000001</v>
      </c>
      <c r="J397" s="10">
        <v>1.1499999999999999</v>
      </c>
      <c r="K397" s="9">
        <f t="shared" si="19"/>
        <v>6.2306999999999997</v>
      </c>
      <c r="L397" s="11">
        <v>0.1</v>
      </c>
      <c r="M397" s="15">
        <f t="shared" si="20"/>
        <v>6.8537699999999999</v>
      </c>
    </row>
    <row r="398" spans="1:13" x14ac:dyDescent="0.25">
      <c r="A398" t="s">
        <v>741</v>
      </c>
      <c r="B398"/>
      <c r="C398" s="6" t="str">
        <f>VLOOKUP(A398,'[1]PRECIOS NUEVOS'!$A:$C,3,0)</f>
        <v>disco de freno viejo</v>
      </c>
      <c r="D398">
        <v>2</v>
      </c>
      <c r="E398">
        <v>14.3</v>
      </c>
      <c r="F398">
        <v>25</v>
      </c>
      <c r="G398" s="11">
        <v>0.17</v>
      </c>
      <c r="H398" s="11">
        <v>0.12</v>
      </c>
      <c r="I398" s="8">
        <f t="shared" si="18"/>
        <v>18.447000000000003</v>
      </c>
      <c r="J398" s="10">
        <v>1.1499999999999999</v>
      </c>
      <c r="K398" s="9">
        <f t="shared" si="19"/>
        <v>21.21405</v>
      </c>
      <c r="L398" s="11">
        <v>0.1</v>
      </c>
      <c r="M398" s="15">
        <f t="shared" si="20"/>
        <v>23.335455000000003</v>
      </c>
    </row>
    <row r="399" spans="1:13" x14ac:dyDescent="0.25">
      <c r="A399" t="s">
        <v>742</v>
      </c>
      <c r="B399"/>
      <c r="C399" s="6" t="str">
        <f>VLOOKUP(A399,'[1]PRECIOS NUEVOS'!$A:$C,3,0)</f>
        <v>tapa de caliper</v>
      </c>
      <c r="D399">
        <v>1</v>
      </c>
      <c r="E399">
        <v>18.149999999999999</v>
      </c>
      <c r="F399">
        <v>31.5</v>
      </c>
      <c r="G399" s="11">
        <v>0.17</v>
      </c>
      <c r="H399" s="11">
        <v>0.12</v>
      </c>
      <c r="I399" s="8">
        <f t="shared" si="18"/>
        <v>23.413499999999999</v>
      </c>
      <c r="J399" s="10">
        <v>1.1499999999999999</v>
      </c>
      <c r="K399" s="9">
        <f t="shared" si="19"/>
        <v>26.925524999999997</v>
      </c>
      <c r="L399" s="11">
        <v>0.1</v>
      </c>
      <c r="M399" s="15">
        <f t="shared" si="20"/>
        <v>29.618077499999998</v>
      </c>
    </row>
    <row r="400" spans="1:13" x14ac:dyDescent="0.25">
      <c r="A400" t="s">
        <v>743</v>
      </c>
      <c r="B400"/>
      <c r="C400" s="6" t="str">
        <f>VLOOKUP(A400,'[1]PRECIOS NUEVOS'!$A:$C,3,0)</f>
        <v>tornillo de tapa de caliper</v>
      </c>
      <c r="D400">
        <v>8</v>
      </c>
      <c r="E400">
        <v>2.2000000000000002</v>
      </c>
      <c r="F400">
        <v>4</v>
      </c>
      <c r="G400" s="11">
        <v>0.17</v>
      </c>
      <c r="H400" s="11">
        <v>0.12</v>
      </c>
      <c r="I400" s="8">
        <f t="shared" si="18"/>
        <v>2.8380000000000005</v>
      </c>
      <c r="J400" s="10">
        <v>1.1499999999999999</v>
      </c>
      <c r="K400" s="9">
        <f t="shared" si="19"/>
        <v>3.2637000000000005</v>
      </c>
      <c r="L400" s="11">
        <v>0.1</v>
      </c>
      <c r="M400" s="15">
        <f t="shared" si="20"/>
        <v>3.5900700000000008</v>
      </c>
    </row>
    <row r="401" spans="1:13" ht="30" x14ac:dyDescent="0.25">
      <c r="A401" t="s">
        <v>744</v>
      </c>
      <c r="B401" t="s">
        <v>749</v>
      </c>
      <c r="C401" s="6" t="str">
        <f>VLOOKUP(A401,'[1]PRECIOS NUEVOS'!$A:$C,3,0)</f>
        <v>CONECTOR T DE PLASTICO , DIVISOR DE FRENO</v>
      </c>
      <c r="D401">
        <v>1</v>
      </c>
      <c r="E401">
        <v>6</v>
      </c>
      <c r="F401">
        <v>11</v>
      </c>
      <c r="G401" s="11">
        <v>0.17</v>
      </c>
      <c r="H401" s="11">
        <v>0.12</v>
      </c>
      <c r="I401" s="8">
        <f t="shared" si="18"/>
        <v>7.74</v>
      </c>
      <c r="J401" s="10">
        <v>1.1499999999999999</v>
      </c>
      <c r="K401" s="9">
        <f t="shared" si="19"/>
        <v>8.9009999999999998</v>
      </c>
      <c r="L401" s="11">
        <v>0.1</v>
      </c>
      <c r="M401" s="15">
        <f t="shared" si="20"/>
        <v>9.7911000000000001</v>
      </c>
    </row>
    <row r="402" spans="1:13" x14ac:dyDescent="0.25">
      <c r="A402" t="s">
        <v>745</v>
      </c>
      <c r="B402"/>
      <c r="C402" s="6" t="e">
        <f>VLOOKUP(A402,'[1]PRECIOS NUEVOS'!$A:$C,3,0)</f>
        <v>#N/A</v>
      </c>
      <c r="D402">
        <v>2</v>
      </c>
      <c r="E402">
        <v>20.350000000000001</v>
      </c>
      <c r="F402">
        <v>35.5</v>
      </c>
      <c r="G402" s="11">
        <v>0.17</v>
      </c>
      <c r="H402" s="11">
        <v>0.12</v>
      </c>
      <c r="I402" s="8">
        <f t="shared" si="18"/>
        <v>26.251500000000004</v>
      </c>
      <c r="J402" s="10">
        <v>1.1499999999999999</v>
      </c>
      <c r="K402" s="9">
        <f t="shared" si="19"/>
        <v>30.189225</v>
      </c>
      <c r="L402" s="11">
        <v>0.1</v>
      </c>
      <c r="M402" s="15">
        <f t="shared" si="20"/>
        <v>33.208147500000003</v>
      </c>
    </row>
    <row r="403" spans="1:13" x14ac:dyDescent="0.25">
      <c r="A403" t="s">
        <v>746</v>
      </c>
      <c r="B403"/>
      <c r="C403" s="6" t="e">
        <f>VLOOKUP(A403,'[1]PRECIOS NUEVOS'!$A:$C,3,0)</f>
        <v>#N/A</v>
      </c>
      <c r="D403">
        <v>2</v>
      </c>
      <c r="E403">
        <v>20.350000000000001</v>
      </c>
      <c r="F403">
        <v>35.5</v>
      </c>
      <c r="G403" s="11">
        <v>0.17</v>
      </c>
      <c r="H403" s="11">
        <v>0.12</v>
      </c>
      <c r="I403" s="8">
        <f t="shared" si="18"/>
        <v>26.251500000000004</v>
      </c>
      <c r="J403" s="10">
        <v>1.1499999999999999</v>
      </c>
      <c r="K403" s="9">
        <f t="shared" si="19"/>
        <v>30.189225</v>
      </c>
      <c r="L403" s="11">
        <v>0.1</v>
      </c>
      <c r="M403" s="15">
        <f t="shared" si="20"/>
        <v>33.208147500000003</v>
      </c>
    </row>
    <row r="404" spans="1:13" x14ac:dyDescent="0.25">
      <c r="A404" t="s">
        <v>747</v>
      </c>
      <c r="B404" t="s">
        <v>750</v>
      </c>
      <c r="C404" s="6" t="str">
        <f>VLOOKUP(A404,'[1]PRECIOS NUEVOS'!$A:$C,3,0)</f>
        <v>CONECTOR DE PLASTICO 45</v>
      </c>
      <c r="D404">
        <v>2</v>
      </c>
      <c r="E404">
        <v>8</v>
      </c>
      <c r="F404">
        <v>14.7</v>
      </c>
      <c r="G404" s="11">
        <v>0.17</v>
      </c>
      <c r="H404" s="11">
        <v>0.12</v>
      </c>
      <c r="I404" s="8">
        <f t="shared" si="18"/>
        <v>10.32</v>
      </c>
      <c r="J404" s="10">
        <v>1.1499999999999999</v>
      </c>
      <c r="K404" s="9">
        <f t="shared" si="19"/>
        <v>11.867999999999999</v>
      </c>
      <c r="L404" s="11">
        <v>0.1</v>
      </c>
      <c r="M404" s="15">
        <f t="shared" si="20"/>
        <v>13.0548</v>
      </c>
    </row>
    <row r="405" spans="1:13" x14ac:dyDescent="0.25">
      <c r="A405" t="s">
        <v>748</v>
      </c>
      <c r="B405" t="s">
        <v>751</v>
      </c>
      <c r="C405" s="6" t="str">
        <f>VLOOKUP(A405,'[1]PRECIOS NUEVOS'!$A:$C,3,0)</f>
        <v>liquido de frenO VERDE</v>
      </c>
      <c r="D405">
        <v>1</v>
      </c>
      <c r="E405">
        <v>5</v>
      </c>
      <c r="F405">
        <v>9.1999999999999993</v>
      </c>
      <c r="G405" s="11">
        <v>0.17</v>
      </c>
      <c r="H405" s="11">
        <v>0.12</v>
      </c>
      <c r="I405" s="8">
        <f t="shared" si="18"/>
        <v>6.45</v>
      </c>
      <c r="J405" s="10">
        <v>1.1499999999999999</v>
      </c>
      <c r="K405" s="9">
        <f t="shared" si="19"/>
        <v>7.4174999999999995</v>
      </c>
      <c r="L405" s="11">
        <v>0.1</v>
      </c>
      <c r="M405" s="15">
        <f t="shared" si="20"/>
        <v>8.1592500000000001</v>
      </c>
    </row>
    <row r="406" spans="1:13" x14ac:dyDescent="0.25">
      <c r="A406" t="s">
        <v>752</v>
      </c>
      <c r="B406" t="s">
        <v>753</v>
      </c>
      <c r="C406" s="6" t="str">
        <f>VLOOKUP(A406,'[1]PRECIOS NUEVOS'!$A:$C,3,0)</f>
        <v>Manguera de freno 1 metro</v>
      </c>
      <c r="D406">
        <v>1</v>
      </c>
      <c r="E406">
        <v>2.2000000000000002</v>
      </c>
      <c r="F406">
        <v>4</v>
      </c>
      <c r="G406" s="11">
        <v>0.17</v>
      </c>
      <c r="H406" s="11">
        <v>0.12</v>
      </c>
      <c r="I406" s="8">
        <f t="shared" si="18"/>
        <v>2.8380000000000005</v>
      </c>
      <c r="J406" s="10">
        <v>1.1499999999999999</v>
      </c>
      <c r="K406" s="9">
        <f t="shared" si="19"/>
        <v>3.2637000000000005</v>
      </c>
      <c r="L406" s="11">
        <v>0.1</v>
      </c>
      <c r="M406" s="15">
        <f t="shared" si="20"/>
        <v>3.5900700000000008</v>
      </c>
    </row>
    <row r="407" spans="1:13" x14ac:dyDescent="0.25">
      <c r="A407" t="s">
        <v>754</v>
      </c>
      <c r="B407" t="s">
        <v>755</v>
      </c>
      <c r="C407" s="6">
        <f>VLOOKUP(A407,'[1]PRECIOS NUEVOS'!$A:$C,3,0)</f>
        <v>0</v>
      </c>
      <c r="D407">
        <v>2</v>
      </c>
      <c r="E407">
        <v>8</v>
      </c>
      <c r="F407">
        <v>14.7</v>
      </c>
      <c r="G407" s="11">
        <v>0.17</v>
      </c>
      <c r="H407" s="11">
        <v>0.12</v>
      </c>
      <c r="I407" s="8">
        <f t="shared" si="18"/>
        <v>10.32</v>
      </c>
      <c r="J407" s="10">
        <v>1.1499999999999999</v>
      </c>
      <c r="K407" s="9">
        <f t="shared" si="19"/>
        <v>11.867999999999999</v>
      </c>
      <c r="L407" s="11">
        <v>0.1</v>
      </c>
      <c r="M407" s="15">
        <f t="shared" si="20"/>
        <v>13.0548</v>
      </c>
    </row>
    <row r="408" spans="1:13" x14ac:dyDescent="0.25">
      <c r="A408" t="s">
        <v>756</v>
      </c>
      <c r="B408" t="s">
        <v>757</v>
      </c>
      <c r="C408" s="6" t="str">
        <f>VLOOKUP(A408,'[1]PRECIOS NUEVOS'!$A:$C,3,0)</f>
        <v>pastillas de freno nuevas de 2,4</v>
      </c>
      <c r="D408">
        <v>4</v>
      </c>
      <c r="E408">
        <v>20</v>
      </c>
      <c r="F408">
        <v>35</v>
      </c>
      <c r="G408" s="11">
        <v>0.17</v>
      </c>
      <c r="H408" s="11">
        <v>0.12</v>
      </c>
      <c r="I408" s="8">
        <f t="shared" si="18"/>
        <v>25.8</v>
      </c>
      <c r="J408" s="10">
        <v>1.1499999999999999</v>
      </c>
      <c r="K408" s="9">
        <f t="shared" si="19"/>
        <v>29.669999999999998</v>
      </c>
      <c r="L408" s="11">
        <v>0.1</v>
      </c>
      <c r="M408" s="15">
        <f t="shared" si="20"/>
        <v>32.637</v>
      </c>
    </row>
    <row r="409" spans="1:13" ht="30" x14ac:dyDescent="0.25">
      <c r="A409" t="s">
        <v>758</v>
      </c>
      <c r="B409" t="s">
        <v>759</v>
      </c>
      <c r="C409" s="6" t="str">
        <f>VLOOKUP(A409,'[1]PRECIOS NUEVOS'!$A:$C,3,0)</f>
        <v>covertor de pastilla de freno de 2,4</v>
      </c>
      <c r="D409">
        <v>1</v>
      </c>
      <c r="E409">
        <v>20</v>
      </c>
      <c r="F409">
        <v>35</v>
      </c>
      <c r="G409" s="11">
        <v>0.17</v>
      </c>
      <c r="H409" s="11">
        <v>0.12</v>
      </c>
      <c r="I409" s="8">
        <f t="shared" si="18"/>
        <v>25.8</v>
      </c>
      <c r="J409" s="10">
        <v>1.1499999999999999</v>
      </c>
      <c r="K409" s="9">
        <f t="shared" si="19"/>
        <v>29.669999999999998</v>
      </c>
      <c r="L409" s="11">
        <v>0.1</v>
      </c>
      <c r="M409" s="15">
        <f t="shared" si="20"/>
        <v>32.637</v>
      </c>
    </row>
    <row r="410" spans="1:13" x14ac:dyDescent="0.25">
      <c r="A410" t="s">
        <v>760</v>
      </c>
      <c r="B410" t="s">
        <v>761</v>
      </c>
      <c r="C410" s="6" t="str">
        <f>VLOOKUP(A410,'[1]PRECIOS NUEVOS'!$A:$C,3,0)</f>
        <v>membrana para dot 4</v>
      </c>
      <c r="D410">
        <v>2</v>
      </c>
      <c r="E410">
        <v>8</v>
      </c>
      <c r="F410">
        <v>14.7</v>
      </c>
      <c r="G410" s="11">
        <v>0.17</v>
      </c>
      <c r="H410" s="11">
        <v>0.12</v>
      </c>
      <c r="I410" s="8">
        <f t="shared" si="18"/>
        <v>10.32</v>
      </c>
      <c r="J410" s="10">
        <v>1.1499999999999999</v>
      </c>
      <c r="K410" s="9">
        <f t="shared" si="19"/>
        <v>11.867999999999999</v>
      </c>
      <c r="L410" s="11">
        <v>0.1</v>
      </c>
      <c r="M410" s="15">
        <f t="shared" si="20"/>
        <v>13.0548</v>
      </c>
    </row>
    <row r="411" spans="1:13" x14ac:dyDescent="0.25">
      <c r="A411" t="s">
        <v>762</v>
      </c>
      <c r="B411" t="s">
        <v>763</v>
      </c>
      <c r="C411" s="6" t="str">
        <f>VLOOKUP(A411,'[1]PRECIOS NUEVOS'!$A:$C,3,0)</f>
        <v>kit de conversion dot 4</v>
      </c>
      <c r="D411">
        <v>1</v>
      </c>
      <c r="E411">
        <v>64</v>
      </c>
      <c r="F411">
        <v>111</v>
      </c>
      <c r="G411" s="11">
        <v>0.17</v>
      </c>
      <c r="H411" s="11">
        <v>0.12</v>
      </c>
      <c r="I411" s="8">
        <f t="shared" si="18"/>
        <v>82.56</v>
      </c>
      <c r="J411" s="10">
        <v>1.1499999999999999</v>
      </c>
      <c r="K411" s="9">
        <f t="shared" si="19"/>
        <v>94.943999999999988</v>
      </c>
      <c r="L411" s="11">
        <v>0.1</v>
      </c>
      <c r="M411" s="15">
        <f t="shared" si="20"/>
        <v>104.4384</v>
      </c>
    </row>
    <row r="412" spans="1:13" x14ac:dyDescent="0.25">
      <c r="A412" t="s">
        <v>764</v>
      </c>
      <c r="B412" t="s">
        <v>765</v>
      </c>
      <c r="C412" s="6" t="str">
        <f>VLOOKUP(A412,'[1]PRECIOS NUEVOS'!$A:$C,3,0)</f>
        <v>Chapita companza uso de disco</v>
      </c>
      <c r="D412">
        <v>4</v>
      </c>
      <c r="E412">
        <v>8.25</v>
      </c>
      <c r="F412">
        <v>15.2</v>
      </c>
      <c r="G412" s="11">
        <v>0.17</v>
      </c>
      <c r="H412" s="11">
        <v>0.12</v>
      </c>
      <c r="I412" s="8">
        <f t="shared" si="18"/>
        <v>10.6425</v>
      </c>
      <c r="J412" s="10">
        <v>1.1499999999999999</v>
      </c>
      <c r="K412" s="9">
        <f t="shared" si="19"/>
        <v>12.238874999999998</v>
      </c>
      <c r="L412" s="11">
        <v>0.1</v>
      </c>
      <c r="M412" s="15">
        <f t="shared" si="20"/>
        <v>13.4627625</v>
      </c>
    </row>
    <row r="413" spans="1:13" x14ac:dyDescent="0.25">
      <c r="A413" t="s">
        <v>766</v>
      </c>
      <c r="B413" t="s">
        <v>767</v>
      </c>
      <c r="C413" s="6" t="e">
        <f>VLOOKUP(A413,'[1]PRECIOS NUEVOS'!$A:$C,3,0)</f>
        <v>#N/A</v>
      </c>
      <c r="D413">
        <v>1</v>
      </c>
      <c r="E413">
        <v>7.5</v>
      </c>
      <c r="F413">
        <v>13.8</v>
      </c>
      <c r="G413" s="11">
        <v>0.17</v>
      </c>
      <c r="H413" s="11">
        <v>0.12</v>
      </c>
      <c r="I413" s="8">
        <f t="shared" si="18"/>
        <v>9.6750000000000007</v>
      </c>
      <c r="J413" s="10">
        <v>1.1499999999999999</v>
      </c>
      <c r="K413" s="9">
        <f t="shared" si="19"/>
        <v>11.126250000000001</v>
      </c>
      <c r="L413" s="11">
        <v>0.1</v>
      </c>
      <c r="M413" s="15">
        <f t="shared" si="20"/>
        <v>12.238875000000002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3DA52-6D7B-45E2-8986-3FB77ED5308D}">
  <dimension ref="A1:B413"/>
  <sheetViews>
    <sheetView topLeftCell="A338" workbookViewId="0">
      <selection activeCell="F407" sqref="F407"/>
    </sheetView>
  </sheetViews>
  <sheetFormatPr defaultRowHeight="15" x14ac:dyDescent="0.25"/>
  <cols>
    <col min="1" max="1" width="14.140625" style="5" customWidth="1"/>
    <col min="2" max="2" width="17.5703125" customWidth="1"/>
  </cols>
  <sheetData>
    <row r="1" spans="1:2" x14ac:dyDescent="0.25">
      <c r="A1" s="2" t="s">
        <v>0</v>
      </c>
      <c r="B1" t="s">
        <v>769</v>
      </c>
    </row>
    <row r="2" spans="1:2" x14ac:dyDescent="0.25">
      <c r="A2" s="5" t="s">
        <v>4</v>
      </c>
      <c r="B2" t="e">
        <f>VLOOKUP(A2,[1]Pesos!$A:$E,5,0)</f>
        <v>#N/A</v>
      </c>
    </row>
    <row r="3" spans="1:2" x14ac:dyDescent="0.25">
      <c r="A3" s="5" t="s">
        <v>7</v>
      </c>
      <c r="B3">
        <f>VLOOKUP(A3,[1]Pesos!$A:$E,5,0)</f>
        <v>0</v>
      </c>
    </row>
    <row r="4" spans="1:2" x14ac:dyDescent="0.25">
      <c r="A4" s="5" t="s">
        <v>9</v>
      </c>
      <c r="B4">
        <f>VLOOKUP(A4,[1]Pesos!$A:$E,5,0)</f>
        <v>160</v>
      </c>
    </row>
    <row r="5" spans="1:2" x14ac:dyDescent="0.25">
      <c r="A5" s="5" t="s">
        <v>11</v>
      </c>
      <c r="B5">
        <f>VLOOKUP(A5,[1]Pesos!$A:$E,5,0)</f>
        <v>50</v>
      </c>
    </row>
    <row r="6" spans="1:2" x14ac:dyDescent="0.25">
      <c r="A6" s="5" t="s">
        <v>13</v>
      </c>
      <c r="B6">
        <f>VLOOKUP(A6,[1]Pesos!$A:$E,5,0)</f>
        <v>15</v>
      </c>
    </row>
    <row r="7" spans="1:2" x14ac:dyDescent="0.25">
      <c r="A7" s="5" t="s">
        <v>15</v>
      </c>
      <c r="B7">
        <f>VLOOKUP(A7,[1]Pesos!$A:$E,5,0)</f>
        <v>70</v>
      </c>
    </row>
    <row r="8" spans="1:2" x14ac:dyDescent="0.25">
      <c r="A8" s="5" t="s">
        <v>17</v>
      </c>
      <c r="B8">
        <f>VLOOKUP(A8,[1]Pesos!$A:$E,5,0)</f>
        <v>15</v>
      </c>
    </row>
    <row r="9" spans="1:2" x14ac:dyDescent="0.25">
      <c r="A9" s="5" t="s">
        <v>19</v>
      </c>
      <c r="B9">
        <f>VLOOKUP(A9,[1]Pesos!$A:$E,5,0)</f>
        <v>25</v>
      </c>
    </row>
    <row r="10" spans="1:2" x14ac:dyDescent="0.25">
      <c r="A10" s="5" t="s">
        <v>21</v>
      </c>
      <c r="B10">
        <f>VLOOKUP(A10,[1]Pesos!$A:$E,5,0)</f>
        <v>20</v>
      </c>
    </row>
    <row r="11" spans="1:2" x14ac:dyDescent="0.25">
      <c r="A11" s="5" t="s">
        <v>23</v>
      </c>
      <c r="B11">
        <f>VLOOKUP(A11,[1]Pesos!$A:$E,5,0)</f>
        <v>25</v>
      </c>
    </row>
    <row r="12" spans="1:2" x14ac:dyDescent="0.25">
      <c r="A12" s="5" t="s">
        <v>25</v>
      </c>
      <c r="B12">
        <f>VLOOKUP(A12,[1]Pesos!$A:$E,5,0)</f>
        <v>20</v>
      </c>
    </row>
    <row r="13" spans="1:2" x14ac:dyDescent="0.25">
      <c r="A13" s="5" t="s">
        <v>26</v>
      </c>
      <c r="B13">
        <f>VLOOKUP(A13,[1]Pesos!$A:$E,5,0)</f>
        <v>0</v>
      </c>
    </row>
    <row r="14" spans="1:2" x14ac:dyDescent="0.25">
      <c r="A14" s="5" t="s">
        <v>28</v>
      </c>
      <c r="B14">
        <f>VLOOKUP(A14,[1]Pesos!$A:$E,5,0)</f>
        <v>30</v>
      </c>
    </row>
    <row r="15" spans="1:2" x14ac:dyDescent="0.25">
      <c r="A15" s="5" t="s">
        <v>30</v>
      </c>
      <c r="B15">
        <f>VLOOKUP(A15,[1]Pesos!$A:$E,5,0)</f>
        <v>45</v>
      </c>
    </row>
    <row r="16" spans="1:2" x14ac:dyDescent="0.25">
      <c r="A16" s="5" t="s">
        <v>32</v>
      </c>
      <c r="B16">
        <f>VLOOKUP(A16,[1]Pesos!$A:$E,5,0)</f>
        <v>40</v>
      </c>
    </row>
    <row r="17" spans="1:2" x14ac:dyDescent="0.25">
      <c r="A17" s="5" t="s">
        <v>34</v>
      </c>
      <c r="B17">
        <f>VLOOKUP(A17,[1]Pesos!$A:$E,5,0)</f>
        <v>15</v>
      </c>
    </row>
    <row r="18" spans="1:2" x14ac:dyDescent="0.25">
      <c r="A18" s="5" t="s">
        <v>36</v>
      </c>
      <c r="B18">
        <f>VLOOKUP(A18,[1]Pesos!$A:$E,5,0)</f>
        <v>15</v>
      </c>
    </row>
    <row r="19" spans="1:2" x14ac:dyDescent="0.25">
      <c r="A19" s="5" t="s">
        <v>38</v>
      </c>
      <c r="B19">
        <f>VLOOKUP(A19,[1]Pesos!$A:$E,5,0)</f>
        <v>15</v>
      </c>
    </row>
    <row r="20" spans="1:2" x14ac:dyDescent="0.25">
      <c r="A20" s="5" t="s">
        <v>40</v>
      </c>
      <c r="B20">
        <f>VLOOKUP(A20,[1]Pesos!$A:$E,5,0)</f>
        <v>70</v>
      </c>
    </row>
    <row r="21" spans="1:2" x14ac:dyDescent="0.25">
      <c r="A21" s="5" t="s">
        <v>42</v>
      </c>
      <c r="B21">
        <f>VLOOKUP(A21,[1]Pesos!$A:$E,5,0)</f>
        <v>35</v>
      </c>
    </row>
    <row r="22" spans="1:2" x14ac:dyDescent="0.25">
      <c r="A22" s="5" t="s">
        <v>44</v>
      </c>
      <c r="B22">
        <f>VLOOKUP(A22,[1]Pesos!$A:$E,5,0)</f>
        <v>30</v>
      </c>
    </row>
    <row r="23" spans="1:2" x14ac:dyDescent="0.25">
      <c r="A23" s="5" t="s">
        <v>46</v>
      </c>
      <c r="B23">
        <f>VLOOKUP(A23,[1]Pesos!$A:$E,5,0)</f>
        <v>0</v>
      </c>
    </row>
    <row r="24" spans="1:2" x14ac:dyDescent="0.25">
      <c r="A24" s="5" t="s">
        <v>48</v>
      </c>
      <c r="B24">
        <f>VLOOKUP(A24,[1]Pesos!$A:$E,5,0)</f>
        <v>12</v>
      </c>
    </row>
    <row r="25" spans="1:2" x14ac:dyDescent="0.25">
      <c r="A25" s="5" t="s">
        <v>50</v>
      </c>
      <c r="B25">
        <f>VLOOKUP(A25,[1]Pesos!$A:$E,5,0)</f>
        <v>0</v>
      </c>
    </row>
    <row r="26" spans="1:2" x14ac:dyDescent="0.25">
      <c r="A26" s="5" t="s">
        <v>52</v>
      </c>
      <c r="B26">
        <f>VLOOKUP(A26,[1]Pesos!$A:$E,5,0)</f>
        <v>40</v>
      </c>
    </row>
    <row r="27" spans="1:2" x14ac:dyDescent="0.25">
      <c r="A27" s="5" t="s">
        <v>54</v>
      </c>
      <c r="B27">
        <f>VLOOKUP(A27,[1]Pesos!$A:$E,5,0)</f>
        <v>30</v>
      </c>
    </row>
    <row r="28" spans="1:2" x14ac:dyDescent="0.25">
      <c r="A28" s="5" t="s">
        <v>56</v>
      </c>
      <c r="B28">
        <f>VLOOKUP(A28,[1]Pesos!$A:$E,5,0)</f>
        <v>30</v>
      </c>
    </row>
    <row r="29" spans="1:2" x14ac:dyDescent="0.25">
      <c r="A29" s="5" t="s">
        <v>58</v>
      </c>
      <c r="B29">
        <f>VLOOKUP(A29,[1]Pesos!$A:$E,5,0)</f>
        <v>0</v>
      </c>
    </row>
    <row r="30" spans="1:2" x14ac:dyDescent="0.25">
      <c r="A30" s="5" t="s">
        <v>60</v>
      </c>
      <c r="B30">
        <f>VLOOKUP(A30,[1]Pesos!$A:$E,5,0)</f>
        <v>10</v>
      </c>
    </row>
    <row r="31" spans="1:2" x14ac:dyDescent="0.25">
      <c r="A31" s="5" t="s">
        <v>62</v>
      </c>
      <c r="B31">
        <f>VLOOKUP(A31,[1]Pesos!$A:$E,5,0)</f>
        <v>30</v>
      </c>
    </row>
    <row r="32" spans="1:2" x14ac:dyDescent="0.25">
      <c r="A32" s="5" t="s">
        <v>64</v>
      </c>
      <c r="B32">
        <f>VLOOKUP(A32,[1]Pesos!$A:$E,5,0)</f>
        <v>0</v>
      </c>
    </row>
    <row r="33" spans="1:2" x14ac:dyDescent="0.25">
      <c r="A33" s="5" t="s">
        <v>66</v>
      </c>
      <c r="B33">
        <f>VLOOKUP(A33,[1]Pesos!$A:$E,5,0)</f>
        <v>0</v>
      </c>
    </row>
    <row r="34" spans="1:2" x14ac:dyDescent="0.25">
      <c r="A34" s="5" t="s">
        <v>68</v>
      </c>
      <c r="B34">
        <f>VLOOKUP(A34,[1]Pesos!$A:$E,5,0)</f>
        <v>0</v>
      </c>
    </row>
    <row r="35" spans="1:2" x14ac:dyDescent="0.25">
      <c r="A35" s="5" t="s">
        <v>70</v>
      </c>
      <c r="B35">
        <f>VLOOKUP(A35,[1]Pesos!$A:$E,5,0)</f>
        <v>0</v>
      </c>
    </row>
    <row r="36" spans="1:2" x14ac:dyDescent="0.25">
      <c r="A36" s="5" t="s">
        <v>72</v>
      </c>
      <c r="B36">
        <f>VLOOKUP(A36,[1]Pesos!$A:$E,5,0)</f>
        <v>25</v>
      </c>
    </row>
    <row r="37" spans="1:2" x14ac:dyDescent="0.25">
      <c r="A37" s="5" t="s">
        <v>74</v>
      </c>
      <c r="B37">
        <f>VLOOKUP(A37,[1]Pesos!$A:$E,5,0)</f>
        <v>0</v>
      </c>
    </row>
    <row r="38" spans="1:2" x14ac:dyDescent="0.25">
      <c r="A38" s="5" t="s">
        <v>76</v>
      </c>
      <c r="B38">
        <f>VLOOKUP(A38,[1]Pesos!$A:$E,5,0)</f>
        <v>0</v>
      </c>
    </row>
    <row r="39" spans="1:2" x14ac:dyDescent="0.25">
      <c r="A39" s="5" t="s">
        <v>78</v>
      </c>
      <c r="B39">
        <f>VLOOKUP(A39,[1]Pesos!$A:$E,5,0)</f>
        <v>15</v>
      </c>
    </row>
    <row r="40" spans="1:2" x14ac:dyDescent="0.25">
      <c r="A40" s="5" t="s">
        <v>80</v>
      </c>
      <c r="B40">
        <f>VLOOKUP(A40,[1]Pesos!$A:$E,5,0)</f>
        <v>0</v>
      </c>
    </row>
    <row r="41" spans="1:2" x14ac:dyDescent="0.25">
      <c r="A41" s="5" t="s">
        <v>82</v>
      </c>
      <c r="B41">
        <f>VLOOKUP(A41,[1]Pesos!$A:$E,5,0)</f>
        <v>10</v>
      </c>
    </row>
    <row r="42" spans="1:2" x14ac:dyDescent="0.25">
      <c r="A42" s="5" t="s">
        <v>84</v>
      </c>
      <c r="B42">
        <f>VLOOKUP(A42,[1]Pesos!$A:$E,5,0)</f>
        <v>15</v>
      </c>
    </row>
    <row r="43" spans="1:2" x14ac:dyDescent="0.25">
      <c r="A43" s="5" t="s">
        <v>86</v>
      </c>
      <c r="B43">
        <f>VLOOKUP(A43,[1]Pesos!$A:$E,5,0)</f>
        <v>0</v>
      </c>
    </row>
    <row r="44" spans="1:2" x14ac:dyDescent="0.25">
      <c r="A44" s="5" t="s">
        <v>88</v>
      </c>
      <c r="B44">
        <f>VLOOKUP(A44,[1]Pesos!$A:$E,5,0)</f>
        <v>12</v>
      </c>
    </row>
    <row r="45" spans="1:2" x14ac:dyDescent="0.25">
      <c r="A45" s="5" t="s">
        <v>90</v>
      </c>
      <c r="B45">
        <f>VLOOKUP(A45,[1]Pesos!$A:$E,5,0)</f>
        <v>10</v>
      </c>
    </row>
    <row r="46" spans="1:2" x14ac:dyDescent="0.25">
      <c r="A46" s="5" t="s">
        <v>92</v>
      </c>
      <c r="B46">
        <f>VLOOKUP(A46,[1]Pesos!$A:$E,5,0)</f>
        <v>0</v>
      </c>
    </row>
    <row r="47" spans="1:2" x14ac:dyDescent="0.25">
      <c r="A47" s="5" t="s">
        <v>94</v>
      </c>
      <c r="B47">
        <f>VLOOKUP(A47,[1]Pesos!$A:$E,5,0)</f>
        <v>15</v>
      </c>
    </row>
    <row r="48" spans="1:2" x14ac:dyDescent="0.25">
      <c r="A48" s="5" t="s">
        <v>96</v>
      </c>
      <c r="B48">
        <f>VLOOKUP(A48,[1]Pesos!$A:$E,5,0)</f>
        <v>20</v>
      </c>
    </row>
    <row r="49" spans="1:2" x14ac:dyDescent="0.25">
      <c r="A49" s="5" t="s">
        <v>98</v>
      </c>
      <c r="B49">
        <f>VLOOKUP(A49,[1]Pesos!$A:$E,5,0)</f>
        <v>0</v>
      </c>
    </row>
    <row r="50" spans="1:2" x14ac:dyDescent="0.25">
      <c r="A50" s="5" t="s">
        <v>100</v>
      </c>
      <c r="B50">
        <f>VLOOKUP(A50,[1]Pesos!$A:$E,5,0)</f>
        <v>0</v>
      </c>
    </row>
    <row r="51" spans="1:2" x14ac:dyDescent="0.25">
      <c r="A51" s="5" t="s">
        <v>102</v>
      </c>
      <c r="B51">
        <f>VLOOKUP(A51,[1]Pesos!$A:$E,5,0)</f>
        <v>0</v>
      </c>
    </row>
    <row r="52" spans="1:2" x14ac:dyDescent="0.25">
      <c r="A52" s="5" t="s">
        <v>104</v>
      </c>
      <c r="B52">
        <f>VLOOKUP(A52,[1]Pesos!$A:$E,5,0)</f>
        <v>10</v>
      </c>
    </row>
    <row r="53" spans="1:2" x14ac:dyDescent="0.25">
      <c r="A53" s="5" t="s">
        <v>106</v>
      </c>
      <c r="B53">
        <f>VLOOKUP(A53,[1]Pesos!$A:$E,5,0)</f>
        <v>85</v>
      </c>
    </row>
    <row r="54" spans="1:2" x14ac:dyDescent="0.25">
      <c r="A54" s="5" t="s">
        <v>108</v>
      </c>
      <c r="B54">
        <f>VLOOKUP(A54,[1]Pesos!$A:$E,5,0)</f>
        <v>85</v>
      </c>
    </row>
    <row r="55" spans="1:2" x14ac:dyDescent="0.25">
      <c r="A55" s="5" t="s">
        <v>110</v>
      </c>
      <c r="B55">
        <f>VLOOKUP(A55,[1]Pesos!$A:$E,5,0)</f>
        <v>15</v>
      </c>
    </row>
    <row r="56" spans="1:2" x14ac:dyDescent="0.25">
      <c r="A56" s="5" t="s">
        <v>112</v>
      </c>
      <c r="B56">
        <f>VLOOKUP(A56,[1]Pesos!$A:$E,5,0)</f>
        <v>0</v>
      </c>
    </row>
    <row r="57" spans="1:2" x14ac:dyDescent="0.25">
      <c r="A57" s="5" t="s">
        <v>114</v>
      </c>
      <c r="B57">
        <f>VLOOKUP(A57,[1]Pesos!$A:$E,5,0)</f>
        <v>20</v>
      </c>
    </row>
    <row r="58" spans="1:2" x14ac:dyDescent="0.25">
      <c r="A58" s="5" t="s">
        <v>116</v>
      </c>
      <c r="B58">
        <f>VLOOKUP(A58,[1]Pesos!$A:$E,5,0)</f>
        <v>20</v>
      </c>
    </row>
    <row r="59" spans="1:2" x14ac:dyDescent="0.25">
      <c r="A59" s="5" t="s">
        <v>118</v>
      </c>
      <c r="B59">
        <f>VLOOKUP(A59,[1]Pesos!$A:$E,5,0)</f>
        <v>15</v>
      </c>
    </row>
    <row r="60" spans="1:2" x14ac:dyDescent="0.25">
      <c r="A60" s="5" t="s">
        <v>120</v>
      </c>
      <c r="B60">
        <f>VLOOKUP(A60,[1]Pesos!$A:$E,5,0)</f>
        <v>25</v>
      </c>
    </row>
    <row r="61" spans="1:2" x14ac:dyDescent="0.25">
      <c r="A61" s="5" t="s">
        <v>122</v>
      </c>
      <c r="B61">
        <f>VLOOKUP(A61,[1]Pesos!$A:$E,5,0)</f>
        <v>20</v>
      </c>
    </row>
    <row r="62" spans="1:2" x14ac:dyDescent="0.25">
      <c r="A62" s="5" t="s">
        <v>124</v>
      </c>
      <c r="B62">
        <f>VLOOKUP(A62,[1]Pesos!$A:$E,5,0)</f>
        <v>20</v>
      </c>
    </row>
    <row r="63" spans="1:2" x14ac:dyDescent="0.25">
      <c r="A63" s="5" t="s">
        <v>126</v>
      </c>
      <c r="B63">
        <f>VLOOKUP(A63,[1]Pesos!$A:$E,5,0)</f>
        <v>12</v>
      </c>
    </row>
    <row r="64" spans="1:2" x14ac:dyDescent="0.25">
      <c r="A64" s="5" t="s">
        <v>128</v>
      </c>
      <c r="B64">
        <f>VLOOKUP(A64,[1]Pesos!$A:$E,5,0)</f>
        <v>25</v>
      </c>
    </row>
    <row r="65" spans="1:2" x14ac:dyDescent="0.25">
      <c r="A65" s="5" t="s">
        <v>130</v>
      </c>
      <c r="B65">
        <f>VLOOKUP(A65,[1]Pesos!$A:$E,5,0)</f>
        <v>25</v>
      </c>
    </row>
    <row r="66" spans="1:2" x14ac:dyDescent="0.25">
      <c r="A66" s="5" t="s">
        <v>132</v>
      </c>
      <c r="B66">
        <f>VLOOKUP(A66,[1]Pesos!$A:$E,5,0)</f>
        <v>25</v>
      </c>
    </row>
    <row r="67" spans="1:2" x14ac:dyDescent="0.25">
      <c r="A67" s="5" t="s">
        <v>134</v>
      </c>
      <c r="B67">
        <f>VLOOKUP(A67,[1]Pesos!$A:$E,5,0)</f>
        <v>20</v>
      </c>
    </row>
    <row r="68" spans="1:2" x14ac:dyDescent="0.25">
      <c r="A68" s="5" t="s">
        <v>136</v>
      </c>
      <c r="B68">
        <f>VLOOKUP(A68,[1]Pesos!$A:$E,5,0)</f>
        <v>10</v>
      </c>
    </row>
    <row r="69" spans="1:2" x14ac:dyDescent="0.25">
      <c r="A69" s="5" t="s">
        <v>138</v>
      </c>
      <c r="B69">
        <f>VLOOKUP(A69,[1]Pesos!$A:$E,5,0)</f>
        <v>0</v>
      </c>
    </row>
    <row r="70" spans="1:2" x14ac:dyDescent="0.25">
      <c r="A70" s="5" t="s">
        <v>140</v>
      </c>
      <c r="B70">
        <f>VLOOKUP(A70,[1]Pesos!$A:$E,5,0)</f>
        <v>0</v>
      </c>
    </row>
    <row r="71" spans="1:2" x14ac:dyDescent="0.25">
      <c r="A71" s="5" t="s">
        <v>142</v>
      </c>
      <c r="B71">
        <f>VLOOKUP(A71,[1]Pesos!$A:$E,5,0)</f>
        <v>0</v>
      </c>
    </row>
    <row r="72" spans="1:2" x14ac:dyDescent="0.25">
      <c r="A72" s="5" t="s">
        <v>144</v>
      </c>
      <c r="B72">
        <f>VLOOKUP(A72,[1]Pesos!$A:$E,5,0)</f>
        <v>20</v>
      </c>
    </row>
    <row r="73" spans="1:2" x14ac:dyDescent="0.25">
      <c r="A73" s="5" t="s">
        <v>146</v>
      </c>
      <c r="B73">
        <f>VLOOKUP(A73,[1]Pesos!$A:$E,5,0)</f>
        <v>0</v>
      </c>
    </row>
    <row r="74" spans="1:2" x14ac:dyDescent="0.25">
      <c r="A74" s="5" t="s">
        <v>148</v>
      </c>
      <c r="B74">
        <f>VLOOKUP(A74,[1]Pesos!$A:$E,5,0)</f>
        <v>100</v>
      </c>
    </row>
    <row r="75" spans="1:2" x14ac:dyDescent="0.25">
      <c r="A75" s="5" t="s">
        <v>150</v>
      </c>
      <c r="B75">
        <f>VLOOKUP(A75,[1]Pesos!$A:$E,5,0)</f>
        <v>350</v>
      </c>
    </row>
    <row r="76" spans="1:2" x14ac:dyDescent="0.25">
      <c r="A76" s="5" t="s">
        <v>152</v>
      </c>
      <c r="B76">
        <f>VLOOKUP(A76,[1]Pesos!$A:$E,5,0)</f>
        <v>80</v>
      </c>
    </row>
    <row r="77" spans="1:2" x14ac:dyDescent="0.25">
      <c r="A77" s="5" t="s">
        <v>154</v>
      </c>
      <c r="B77">
        <f>VLOOKUP(A77,[1]Pesos!$A:$E,5,0)</f>
        <v>30</v>
      </c>
    </row>
    <row r="78" spans="1:2" x14ac:dyDescent="0.25">
      <c r="A78" s="5" t="s">
        <v>156</v>
      </c>
      <c r="B78" t="e">
        <f>VLOOKUP(A78,[1]Pesos!$A:$E,5,0)</f>
        <v>#N/A</v>
      </c>
    </row>
    <row r="79" spans="1:2" x14ac:dyDescent="0.25">
      <c r="A79" s="5" t="s">
        <v>158</v>
      </c>
      <c r="B79">
        <f>VLOOKUP(A79,[1]Pesos!$A:$E,5,0)</f>
        <v>35</v>
      </c>
    </row>
    <row r="80" spans="1:2" x14ac:dyDescent="0.25">
      <c r="A80" s="5" t="s">
        <v>160</v>
      </c>
      <c r="B80">
        <f>VLOOKUP(A80,[1]Pesos!$A:$E,5,0)</f>
        <v>0</v>
      </c>
    </row>
    <row r="81" spans="1:2" x14ac:dyDescent="0.25">
      <c r="A81" s="5" t="s">
        <v>162</v>
      </c>
      <c r="B81">
        <f>VLOOKUP(A81,[1]Pesos!$A:$E,5,0)</f>
        <v>0</v>
      </c>
    </row>
    <row r="82" spans="1:2" x14ac:dyDescent="0.25">
      <c r="A82" s="5" t="s">
        <v>164</v>
      </c>
      <c r="B82">
        <f>VLOOKUP(A82,[1]Pesos!$A:$E,5,0)</f>
        <v>35</v>
      </c>
    </row>
    <row r="83" spans="1:2" x14ac:dyDescent="0.25">
      <c r="A83" s="5" t="s">
        <v>166</v>
      </c>
      <c r="B83">
        <f>VLOOKUP(A83,[1]Pesos!$A:$E,5,0)</f>
        <v>10</v>
      </c>
    </row>
    <row r="84" spans="1:2" x14ac:dyDescent="0.25">
      <c r="A84" s="5" t="s">
        <v>168</v>
      </c>
      <c r="B84">
        <f>VLOOKUP(A84,[1]Pesos!$A:$E,5,0)</f>
        <v>25</v>
      </c>
    </row>
    <row r="85" spans="1:2" x14ac:dyDescent="0.25">
      <c r="A85" s="5" t="s">
        <v>170</v>
      </c>
      <c r="B85">
        <f>VLOOKUP(A85,[1]Pesos!$A:$E,5,0)</f>
        <v>40</v>
      </c>
    </row>
    <row r="86" spans="1:2" x14ac:dyDescent="0.25">
      <c r="A86" s="5" t="s">
        <v>172</v>
      </c>
      <c r="B86">
        <f>VLOOKUP(A86,[1]Pesos!$A:$E,5,0)</f>
        <v>0</v>
      </c>
    </row>
    <row r="87" spans="1:2" x14ac:dyDescent="0.25">
      <c r="A87" s="5" t="s">
        <v>174</v>
      </c>
      <c r="B87">
        <f>VLOOKUP(A87,[1]Pesos!$A:$E,5,0)</f>
        <v>50</v>
      </c>
    </row>
    <row r="88" spans="1:2" x14ac:dyDescent="0.25">
      <c r="A88" s="5" t="s">
        <v>176</v>
      </c>
      <c r="B88">
        <f>VLOOKUP(A88,[1]Pesos!$A:$E,5,0)</f>
        <v>50</v>
      </c>
    </row>
    <row r="89" spans="1:2" x14ac:dyDescent="0.25">
      <c r="A89" s="5" t="s">
        <v>178</v>
      </c>
      <c r="B89">
        <f>VLOOKUP(A89,[1]Pesos!$A:$E,5,0)</f>
        <v>50</v>
      </c>
    </row>
    <row r="90" spans="1:2" x14ac:dyDescent="0.25">
      <c r="A90" s="5" t="s">
        <v>180</v>
      </c>
      <c r="B90">
        <f>VLOOKUP(A90,[1]Pesos!$A:$E,5,0)</f>
        <v>15</v>
      </c>
    </row>
    <row r="91" spans="1:2" x14ac:dyDescent="0.25">
      <c r="A91" s="5" t="s">
        <v>182</v>
      </c>
      <c r="B91">
        <f>VLOOKUP(A91,[1]Pesos!$A:$E,5,0)</f>
        <v>105</v>
      </c>
    </row>
    <row r="92" spans="1:2" x14ac:dyDescent="0.25">
      <c r="A92" s="5" t="s">
        <v>184</v>
      </c>
      <c r="B92">
        <f>VLOOKUP(A92,[1]Pesos!$A:$E,5,0)</f>
        <v>0</v>
      </c>
    </row>
    <row r="93" spans="1:2" x14ac:dyDescent="0.25">
      <c r="A93" s="5" t="s">
        <v>186</v>
      </c>
      <c r="B93">
        <f>VLOOKUP(A93,[1]Pesos!$A:$E,5,0)</f>
        <v>80</v>
      </c>
    </row>
    <row r="94" spans="1:2" x14ac:dyDescent="0.25">
      <c r="A94" s="5" t="s">
        <v>188</v>
      </c>
      <c r="B94">
        <f>VLOOKUP(A94,[1]Pesos!$A:$E,5,0)</f>
        <v>0</v>
      </c>
    </row>
    <row r="95" spans="1:2" x14ac:dyDescent="0.25">
      <c r="A95" s="5" t="s">
        <v>190</v>
      </c>
      <c r="B95">
        <f>VLOOKUP(A95,[1]Pesos!$A:$E,5,0)</f>
        <v>0</v>
      </c>
    </row>
    <row r="96" spans="1:2" x14ac:dyDescent="0.25">
      <c r="A96" s="5" t="s">
        <v>192</v>
      </c>
      <c r="B96">
        <f>VLOOKUP(A96,[1]Pesos!$A:$E,5,0)</f>
        <v>15</v>
      </c>
    </row>
    <row r="97" spans="1:2" x14ac:dyDescent="0.25">
      <c r="A97" s="5" t="s">
        <v>194</v>
      </c>
      <c r="B97">
        <f>VLOOKUP(A97,[1]Pesos!$A:$E,5,0)</f>
        <v>0</v>
      </c>
    </row>
    <row r="98" spans="1:2" x14ac:dyDescent="0.25">
      <c r="A98" s="5" t="s">
        <v>196</v>
      </c>
      <c r="B98">
        <f>VLOOKUP(A98,[1]Pesos!$A:$E,5,0)</f>
        <v>80</v>
      </c>
    </row>
    <row r="99" spans="1:2" x14ac:dyDescent="0.25">
      <c r="A99" s="5" t="s">
        <v>198</v>
      </c>
      <c r="B99">
        <f>VLOOKUP(A99,[1]Pesos!$A:$E,5,0)</f>
        <v>50</v>
      </c>
    </row>
    <row r="100" spans="1:2" x14ac:dyDescent="0.25">
      <c r="A100" s="5" t="s">
        <v>200</v>
      </c>
      <c r="B100">
        <f>VLOOKUP(A100,[1]Pesos!$A:$E,5,0)</f>
        <v>10</v>
      </c>
    </row>
    <row r="101" spans="1:2" x14ac:dyDescent="0.25">
      <c r="A101" s="5" t="s">
        <v>202</v>
      </c>
      <c r="B101">
        <f>VLOOKUP(A101,[1]Pesos!$A:$E,5,0)</f>
        <v>30</v>
      </c>
    </row>
    <row r="102" spans="1:2" x14ac:dyDescent="0.25">
      <c r="A102" s="5" t="s">
        <v>204</v>
      </c>
      <c r="B102">
        <f>VLOOKUP(A102,[1]Pesos!$A:$E,5,0)</f>
        <v>40</v>
      </c>
    </row>
    <row r="103" spans="1:2" x14ac:dyDescent="0.25">
      <c r="A103" s="5" t="s">
        <v>206</v>
      </c>
      <c r="B103">
        <f>VLOOKUP(A103,[1]Pesos!$A:$E,5,0)</f>
        <v>100</v>
      </c>
    </row>
    <row r="104" spans="1:2" x14ac:dyDescent="0.25">
      <c r="A104" s="5" t="s">
        <v>208</v>
      </c>
      <c r="B104">
        <f>VLOOKUP(A104,[1]Pesos!$A:$E,5,0)</f>
        <v>40</v>
      </c>
    </row>
    <row r="105" spans="1:2" x14ac:dyDescent="0.25">
      <c r="A105" s="5" t="s">
        <v>210</v>
      </c>
      <c r="B105">
        <f>VLOOKUP(A105,[1]Pesos!$A:$E,5,0)</f>
        <v>30</v>
      </c>
    </row>
    <row r="106" spans="1:2" x14ac:dyDescent="0.25">
      <c r="A106" s="5" t="s">
        <v>212</v>
      </c>
      <c r="B106">
        <f>VLOOKUP(A106,[1]Pesos!$A:$E,5,0)</f>
        <v>40</v>
      </c>
    </row>
    <row r="107" spans="1:2" x14ac:dyDescent="0.25">
      <c r="A107" s="5" t="s">
        <v>214</v>
      </c>
      <c r="B107">
        <f>VLOOKUP(A107,[1]Pesos!$A:$E,5,0)</f>
        <v>50</v>
      </c>
    </row>
    <row r="108" spans="1:2" x14ac:dyDescent="0.25">
      <c r="A108" s="5" t="s">
        <v>216</v>
      </c>
      <c r="B108">
        <f>VLOOKUP(A108,[1]Pesos!$A:$E,5,0)</f>
        <v>50</v>
      </c>
    </row>
    <row r="109" spans="1:2" x14ac:dyDescent="0.25">
      <c r="A109" s="5" t="s">
        <v>218</v>
      </c>
      <c r="B109">
        <f>VLOOKUP(A109,[1]Pesos!$A:$E,5,0)</f>
        <v>20</v>
      </c>
    </row>
    <row r="110" spans="1:2" x14ac:dyDescent="0.25">
      <c r="A110" s="5" t="s">
        <v>220</v>
      </c>
      <c r="B110">
        <f>VLOOKUP(A110,[1]Pesos!$A:$E,5,0)</f>
        <v>25</v>
      </c>
    </row>
    <row r="111" spans="1:2" x14ac:dyDescent="0.25">
      <c r="A111" s="5" t="s">
        <v>222</v>
      </c>
      <c r="B111">
        <f>VLOOKUP(A111,[1]Pesos!$A:$E,5,0)</f>
        <v>50</v>
      </c>
    </row>
    <row r="112" spans="1:2" x14ac:dyDescent="0.25">
      <c r="A112" s="5" t="s">
        <v>224</v>
      </c>
      <c r="B112">
        <f>VLOOKUP(A112,[1]Pesos!$A:$E,5,0)</f>
        <v>15</v>
      </c>
    </row>
    <row r="113" spans="1:2" x14ac:dyDescent="0.25">
      <c r="A113" s="5" t="s">
        <v>226</v>
      </c>
      <c r="B113">
        <f>VLOOKUP(A113,[1]Pesos!$A:$E,5,0)</f>
        <v>15</v>
      </c>
    </row>
    <row r="114" spans="1:2" x14ac:dyDescent="0.25">
      <c r="A114" s="5" t="s">
        <v>228</v>
      </c>
      <c r="B114">
        <f>VLOOKUP(A114,[1]Pesos!$A:$E,5,0)</f>
        <v>15</v>
      </c>
    </row>
    <row r="115" spans="1:2" x14ac:dyDescent="0.25">
      <c r="A115" s="5" t="s">
        <v>230</v>
      </c>
      <c r="B115">
        <f>VLOOKUP(A115,[1]Pesos!$A:$E,5,0)</f>
        <v>15</v>
      </c>
    </row>
    <row r="116" spans="1:2" x14ac:dyDescent="0.25">
      <c r="A116" s="5" t="s">
        <v>232</v>
      </c>
      <c r="B116">
        <f>VLOOKUP(A116,[1]Pesos!$A:$E,5,0)</f>
        <v>15</v>
      </c>
    </row>
    <row r="117" spans="1:2" x14ac:dyDescent="0.25">
      <c r="A117" s="5" t="s">
        <v>234</v>
      </c>
      <c r="B117">
        <f>VLOOKUP(A117,[1]Pesos!$A:$E,5,0)</f>
        <v>15</v>
      </c>
    </row>
    <row r="118" spans="1:2" x14ac:dyDescent="0.25">
      <c r="A118" s="5" t="s">
        <v>236</v>
      </c>
      <c r="B118">
        <f>VLOOKUP(A118,[1]Pesos!$A:$E,5,0)</f>
        <v>30</v>
      </c>
    </row>
    <row r="119" spans="1:2" x14ac:dyDescent="0.25">
      <c r="A119" s="5" t="s">
        <v>238</v>
      </c>
      <c r="B119">
        <f>VLOOKUP(A119,[1]Pesos!$A:$E,5,0)</f>
        <v>100</v>
      </c>
    </row>
    <row r="120" spans="1:2" x14ac:dyDescent="0.25">
      <c r="A120" s="5" t="s">
        <v>240</v>
      </c>
      <c r="B120">
        <f>VLOOKUP(A120,[1]Pesos!$A:$E,5,0)</f>
        <v>100</v>
      </c>
    </row>
    <row r="121" spans="1:2" x14ac:dyDescent="0.25">
      <c r="A121" s="5" t="s">
        <v>242</v>
      </c>
      <c r="B121">
        <f>VLOOKUP(A121,[1]Pesos!$A:$E,5,0)</f>
        <v>55</v>
      </c>
    </row>
    <row r="122" spans="1:2" x14ac:dyDescent="0.25">
      <c r="A122" s="5" t="s">
        <v>244</v>
      </c>
      <c r="B122">
        <f>VLOOKUP(A122,[1]Pesos!$A:$E,5,0)</f>
        <v>15</v>
      </c>
    </row>
    <row r="123" spans="1:2" x14ac:dyDescent="0.25">
      <c r="A123" s="5" t="s">
        <v>246</v>
      </c>
      <c r="B123">
        <f>VLOOKUP(A123,[1]Pesos!$A:$E,5,0)</f>
        <v>20</v>
      </c>
    </row>
    <row r="124" spans="1:2" x14ac:dyDescent="0.25">
      <c r="A124" s="5" t="s">
        <v>248</v>
      </c>
      <c r="B124">
        <f>VLOOKUP(A124,[1]Pesos!$A:$E,5,0)</f>
        <v>0</v>
      </c>
    </row>
    <row r="125" spans="1:2" x14ac:dyDescent="0.25">
      <c r="A125" s="5" t="s">
        <v>250</v>
      </c>
      <c r="B125">
        <f>VLOOKUP(A125,[1]Pesos!$A:$E,5,0)</f>
        <v>0</v>
      </c>
    </row>
    <row r="126" spans="1:2" x14ac:dyDescent="0.25">
      <c r="A126" s="5" t="s">
        <v>252</v>
      </c>
      <c r="B126">
        <f>VLOOKUP(A126,[1]Pesos!$A:$E,5,0)</f>
        <v>0</v>
      </c>
    </row>
    <row r="127" spans="1:2" x14ac:dyDescent="0.25">
      <c r="A127" s="5" t="s">
        <v>254</v>
      </c>
      <c r="B127">
        <f>VLOOKUP(A127,[1]Pesos!$A:$E,5,0)</f>
        <v>0</v>
      </c>
    </row>
    <row r="128" spans="1:2" x14ac:dyDescent="0.25">
      <c r="A128" s="5" t="s">
        <v>256</v>
      </c>
      <c r="B128">
        <f>VLOOKUP(A128,[1]Pesos!$A:$E,5,0)</f>
        <v>75</v>
      </c>
    </row>
    <row r="129" spans="1:2" x14ac:dyDescent="0.25">
      <c r="A129" s="5" t="s">
        <v>258</v>
      </c>
      <c r="B129">
        <f>VLOOKUP(A129,[1]Pesos!$A:$E,5,0)</f>
        <v>0</v>
      </c>
    </row>
    <row r="130" spans="1:2" x14ac:dyDescent="0.25">
      <c r="A130" s="5" t="s">
        <v>260</v>
      </c>
      <c r="B130">
        <f>VLOOKUP(A130,[1]Pesos!$A:$E,5,0)</f>
        <v>10</v>
      </c>
    </row>
    <row r="131" spans="1:2" x14ac:dyDescent="0.25">
      <c r="A131" s="5" t="s">
        <v>262</v>
      </c>
      <c r="B131">
        <f>VLOOKUP(A131,[1]Pesos!$A:$E,5,0)</f>
        <v>0</v>
      </c>
    </row>
    <row r="132" spans="1:2" x14ac:dyDescent="0.25">
      <c r="A132" s="5" t="s">
        <v>264</v>
      </c>
      <c r="B132">
        <f>VLOOKUP(A132,[1]Pesos!$A:$E,5,0)</f>
        <v>25</v>
      </c>
    </row>
    <row r="133" spans="1:2" x14ac:dyDescent="0.25">
      <c r="A133" s="5" t="s">
        <v>266</v>
      </c>
      <c r="B133">
        <f>VLOOKUP(A133,[1]Pesos!$A:$E,5,0)</f>
        <v>10</v>
      </c>
    </row>
    <row r="134" spans="1:2" x14ac:dyDescent="0.25">
      <c r="A134" s="5" t="s">
        <v>268</v>
      </c>
      <c r="B134">
        <f>VLOOKUP(A134,[1]Pesos!$A:$E,5,0)</f>
        <v>0</v>
      </c>
    </row>
    <row r="135" spans="1:2" x14ac:dyDescent="0.25">
      <c r="A135" s="5" t="s">
        <v>270</v>
      </c>
      <c r="B135">
        <f>VLOOKUP(A135,[1]Pesos!$A:$E,5,0)</f>
        <v>20</v>
      </c>
    </row>
    <row r="136" spans="1:2" x14ac:dyDescent="0.25">
      <c r="A136" s="5" t="s">
        <v>272</v>
      </c>
      <c r="B136">
        <f>VLOOKUP(A136,[1]Pesos!$A:$E,5,0)</f>
        <v>20</v>
      </c>
    </row>
    <row r="137" spans="1:2" x14ac:dyDescent="0.25">
      <c r="A137" s="5" t="s">
        <v>274</v>
      </c>
      <c r="B137">
        <f>VLOOKUP(A137,[1]Pesos!$A:$E,5,0)</f>
        <v>20</v>
      </c>
    </row>
    <row r="138" spans="1:2" x14ac:dyDescent="0.25">
      <c r="A138" s="5" t="s">
        <v>276</v>
      </c>
      <c r="B138">
        <f>VLOOKUP(A138,[1]Pesos!$A:$E,5,0)</f>
        <v>0</v>
      </c>
    </row>
    <row r="139" spans="1:2" x14ac:dyDescent="0.25">
      <c r="A139" s="5" t="s">
        <v>278</v>
      </c>
      <c r="B139">
        <f>VLOOKUP(A139,[1]Pesos!$A:$E,5,0)</f>
        <v>35</v>
      </c>
    </row>
    <row r="140" spans="1:2" x14ac:dyDescent="0.25">
      <c r="A140" s="5" t="s">
        <v>280</v>
      </c>
      <c r="B140">
        <f>VLOOKUP(A140,[1]Pesos!$A:$E,5,0)</f>
        <v>100</v>
      </c>
    </row>
    <row r="141" spans="1:2" x14ac:dyDescent="0.25">
      <c r="A141" s="5" t="s">
        <v>282</v>
      </c>
      <c r="B141">
        <f>VLOOKUP(A141,[1]Pesos!$A:$E,5,0)</f>
        <v>0</v>
      </c>
    </row>
    <row r="142" spans="1:2" x14ac:dyDescent="0.25">
      <c r="A142" s="5" t="s">
        <v>284</v>
      </c>
      <c r="B142">
        <f>VLOOKUP(A142,[1]Pesos!$A:$E,5,0)</f>
        <v>80</v>
      </c>
    </row>
    <row r="143" spans="1:2" x14ac:dyDescent="0.25">
      <c r="A143" s="5" t="s">
        <v>286</v>
      </c>
      <c r="B143">
        <f>VLOOKUP(A143,[1]Pesos!$A:$E,5,0)</f>
        <v>40</v>
      </c>
    </row>
    <row r="144" spans="1:2" x14ac:dyDescent="0.25">
      <c r="A144" s="5" t="s">
        <v>288</v>
      </c>
      <c r="B144">
        <f>VLOOKUP(A144,[1]Pesos!$A:$E,5,0)</f>
        <v>20</v>
      </c>
    </row>
    <row r="145" spans="1:2" x14ac:dyDescent="0.25">
      <c r="A145" s="5" t="s">
        <v>290</v>
      </c>
      <c r="B145">
        <f>VLOOKUP(A145,[1]Pesos!$A:$E,5,0)</f>
        <v>20</v>
      </c>
    </row>
    <row r="146" spans="1:2" x14ac:dyDescent="0.25">
      <c r="A146" s="5" t="s">
        <v>292</v>
      </c>
      <c r="B146">
        <f>VLOOKUP(A146,[1]Pesos!$A:$E,5,0)</f>
        <v>40</v>
      </c>
    </row>
    <row r="147" spans="1:2" x14ac:dyDescent="0.25">
      <c r="A147" s="5" t="s">
        <v>294</v>
      </c>
      <c r="B147">
        <f>VLOOKUP(A147,[1]Pesos!$A:$E,5,0)</f>
        <v>20</v>
      </c>
    </row>
    <row r="148" spans="1:2" x14ac:dyDescent="0.25">
      <c r="A148" s="5" t="s">
        <v>296</v>
      </c>
      <c r="B148">
        <f>VLOOKUP(A148,[1]Pesos!$A:$E,5,0)</f>
        <v>15</v>
      </c>
    </row>
    <row r="149" spans="1:2" x14ac:dyDescent="0.25">
      <c r="A149" s="5" t="s">
        <v>298</v>
      </c>
      <c r="B149">
        <f>VLOOKUP(A149,[1]Pesos!$A:$E,5,0)</f>
        <v>0</v>
      </c>
    </row>
    <row r="150" spans="1:2" x14ac:dyDescent="0.25">
      <c r="A150" s="5" t="s">
        <v>300</v>
      </c>
      <c r="B150">
        <f>VLOOKUP(A150,[1]Pesos!$A:$E,5,0)</f>
        <v>25</v>
      </c>
    </row>
    <row r="151" spans="1:2" x14ac:dyDescent="0.25">
      <c r="A151" s="5" t="s">
        <v>302</v>
      </c>
      <c r="B151">
        <f>VLOOKUP(A151,[1]Pesos!$A:$E,5,0)</f>
        <v>0</v>
      </c>
    </row>
    <row r="152" spans="1:2" x14ac:dyDescent="0.25">
      <c r="A152" s="5" t="s">
        <v>304</v>
      </c>
      <c r="B152">
        <f>VLOOKUP(A152,[1]Pesos!$A:$E,5,0)</f>
        <v>0</v>
      </c>
    </row>
    <row r="153" spans="1:2" x14ac:dyDescent="0.25">
      <c r="A153" s="5" t="s">
        <v>306</v>
      </c>
      <c r="B153">
        <f>VLOOKUP(A153,[1]Pesos!$A:$E,5,0)</f>
        <v>12</v>
      </c>
    </row>
    <row r="154" spans="1:2" x14ac:dyDescent="0.25">
      <c r="A154" s="5" t="s">
        <v>308</v>
      </c>
      <c r="B154">
        <f>VLOOKUP(A154,[1]Pesos!$A:$E,5,0)</f>
        <v>0</v>
      </c>
    </row>
    <row r="155" spans="1:2" x14ac:dyDescent="0.25">
      <c r="A155" s="5" t="s">
        <v>310</v>
      </c>
      <c r="B155">
        <f>VLOOKUP(A155,[1]Pesos!$A:$E,5,0)</f>
        <v>30</v>
      </c>
    </row>
    <row r="156" spans="1:2" x14ac:dyDescent="0.25">
      <c r="A156" s="5" t="s">
        <v>312</v>
      </c>
      <c r="B156">
        <f>VLOOKUP(A156,[1]Pesos!$A:$E,5,0)</f>
        <v>0</v>
      </c>
    </row>
    <row r="157" spans="1:2" x14ac:dyDescent="0.25">
      <c r="A157" s="5" t="s">
        <v>314</v>
      </c>
      <c r="B157">
        <f>VLOOKUP(A157,[1]Pesos!$A:$E,5,0)</f>
        <v>0</v>
      </c>
    </row>
    <row r="158" spans="1:2" x14ac:dyDescent="0.25">
      <c r="A158" s="5" t="s">
        <v>316</v>
      </c>
      <c r="B158">
        <f>VLOOKUP(A158,[1]Pesos!$A:$E,5,0)</f>
        <v>0</v>
      </c>
    </row>
    <row r="159" spans="1:2" x14ac:dyDescent="0.25">
      <c r="A159" s="5" t="s">
        <v>318</v>
      </c>
      <c r="B159">
        <f>VLOOKUP(A159,[1]Pesos!$A:$E,5,0)</f>
        <v>50</v>
      </c>
    </row>
    <row r="160" spans="1:2" x14ac:dyDescent="0.25">
      <c r="A160" s="5" t="s">
        <v>320</v>
      </c>
      <c r="B160">
        <f>VLOOKUP(A160,[1]Pesos!$A:$E,5,0)</f>
        <v>0</v>
      </c>
    </row>
    <row r="161" spans="1:2" x14ac:dyDescent="0.25">
      <c r="A161" s="5" t="s">
        <v>322</v>
      </c>
      <c r="B161">
        <f>VLOOKUP(A161,[1]Pesos!$A:$E,5,0)</f>
        <v>0</v>
      </c>
    </row>
    <row r="162" spans="1:2" x14ac:dyDescent="0.25">
      <c r="A162" s="5" t="s">
        <v>324</v>
      </c>
      <c r="B162">
        <f>VLOOKUP(A162,[1]Pesos!$A:$E,5,0)</f>
        <v>170</v>
      </c>
    </row>
    <row r="163" spans="1:2" x14ac:dyDescent="0.25">
      <c r="A163" s="5" t="s">
        <v>326</v>
      </c>
      <c r="B163">
        <f>VLOOKUP(A163,[1]Pesos!$A:$E,5,0)</f>
        <v>210</v>
      </c>
    </row>
    <row r="164" spans="1:2" x14ac:dyDescent="0.25">
      <c r="A164" s="5" t="s">
        <v>328</v>
      </c>
      <c r="B164">
        <f>VLOOKUP(A164,[1]Pesos!$A:$E,5,0)</f>
        <v>200</v>
      </c>
    </row>
    <row r="165" spans="1:2" x14ac:dyDescent="0.25">
      <c r="A165" s="5" t="s">
        <v>330</v>
      </c>
      <c r="B165">
        <f>VLOOKUP(A165,[1]Pesos!$A:$E,5,0)</f>
        <v>30</v>
      </c>
    </row>
    <row r="166" spans="1:2" x14ac:dyDescent="0.25">
      <c r="A166" s="5" t="s">
        <v>332</v>
      </c>
      <c r="B166">
        <f>VLOOKUP(A166,[1]Pesos!$A:$E,5,0)</f>
        <v>17</v>
      </c>
    </row>
    <row r="167" spans="1:2" x14ac:dyDescent="0.25">
      <c r="A167" s="5" t="s">
        <v>334</v>
      </c>
      <c r="B167">
        <f>VLOOKUP(A167,[1]Pesos!$A:$E,5,0)</f>
        <v>17</v>
      </c>
    </row>
    <row r="168" spans="1:2" x14ac:dyDescent="0.25">
      <c r="A168" s="5" t="s">
        <v>336</v>
      </c>
      <c r="B168">
        <f>VLOOKUP(A168,[1]Pesos!$A:$E,5,0)</f>
        <v>17</v>
      </c>
    </row>
    <row r="169" spans="1:2" x14ac:dyDescent="0.25">
      <c r="A169" s="5" t="s">
        <v>338</v>
      </c>
      <c r="B169">
        <f>VLOOKUP(A169,[1]Pesos!$A:$E,5,0)</f>
        <v>40</v>
      </c>
    </row>
    <row r="170" spans="1:2" x14ac:dyDescent="0.25">
      <c r="A170" s="5" t="s">
        <v>340</v>
      </c>
      <c r="B170">
        <f>VLOOKUP(A170,[1]Pesos!$A:$E,5,0)</f>
        <v>40</v>
      </c>
    </row>
    <row r="171" spans="1:2" x14ac:dyDescent="0.25">
      <c r="A171" s="5" t="s">
        <v>342</v>
      </c>
      <c r="B171">
        <f>VLOOKUP(A171,[1]Pesos!$A:$E,5,0)</f>
        <v>40</v>
      </c>
    </row>
    <row r="172" spans="1:2" x14ac:dyDescent="0.25">
      <c r="A172" s="5" t="s">
        <v>344</v>
      </c>
      <c r="B172">
        <f>VLOOKUP(A172,[1]Pesos!$A:$E,5,0)</f>
        <v>22</v>
      </c>
    </row>
    <row r="173" spans="1:2" x14ac:dyDescent="0.25">
      <c r="A173" s="5" t="s">
        <v>346</v>
      </c>
      <c r="B173">
        <f>VLOOKUP(A173,[1]Pesos!$A:$E,5,0)</f>
        <v>0</v>
      </c>
    </row>
    <row r="174" spans="1:2" x14ac:dyDescent="0.25">
      <c r="A174" s="5" t="s">
        <v>348</v>
      </c>
      <c r="B174">
        <f>VLOOKUP(A174,[1]Pesos!$A:$E,5,0)</f>
        <v>20</v>
      </c>
    </row>
    <row r="175" spans="1:2" x14ac:dyDescent="0.25">
      <c r="A175" s="5" t="s">
        <v>350</v>
      </c>
      <c r="B175">
        <f>VLOOKUP(A175,[1]Pesos!$A:$E,5,0)</f>
        <v>12</v>
      </c>
    </row>
    <row r="176" spans="1:2" x14ac:dyDescent="0.25">
      <c r="A176" s="5" t="s">
        <v>352</v>
      </c>
      <c r="B176">
        <f>VLOOKUP(A176,[1]Pesos!$A:$E,5,0)</f>
        <v>30</v>
      </c>
    </row>
    <row r="177" spans="1:2" x14ac:dyDescent="0.25">
      <c r="A177" s="5" t="s">
        <v>354</v>
      </c>
      <c r="B177">
        <f>VLOOKUP(A177,[1]Pesos!$A:$E,5,0)</f>
        <v>45</v>
      </c>
    </row>
    <row r="178" spans="1:2" x14ac:dyDescent="0.25">
      <c r="A178" s="5" t="s">
        <v>356</v>
      </c>
      <c r="B178">
        <f>VLOOKUP(A178,[1]Pesos!$A:$E,5,0)</f>
        <v>1000</v>
      </c>
    </row>
    <row r="179" spans="1:2" x14ac:dyDescent="0.25">
      <c r="A179" s="5" t="s">
        <v>358</v>
      </c>
      <c r="B179">
        <f>VLOOKUP(A179,[1]Pesos!$A:$E,5,0)</f>
        <v>95</v>
      </c>
    </row>
    <row r="180" spans="1:2" x14ac:dyDescent="0.25">
      <c r="A180" s="5" t="s">
        <v>360</v>
      </c>
      <c r="B180" t="e">
        <f>VLOOKUP(A180,[1]Pesos!$A:$E,5,0)</f>
        <v>#N/A</v>
      </c>
    </row>
    <row r="181" spans="1:2" x14ac:dyDescent="0.25">
      <c r="A181" s="5" t="s">
        <v>362</v>
      </c>
      <c r="B181">
        <f>VLOOKUP(A181,[1]Pesos!$A:$E,5,0)</f>
        <v>0</v>
      </c>
    </row>
    <row r="182" spans="1:2" x14ac:dyDescent="0.25">
      <c r="A182" s="5" t="s">
        <v>364</v>
      </c>
      <c r="B182">
        <f>VLOOKUP(A182,[1]Pesos!$A:$E,5,0)</f>
        <v>0</v>
      </c>
    </row>
    <row r="183" spans="1:2" x14ac:dyDescent="0.25">
      <c r="A183" s="5" t="s">
        <v>366</v>
      </c>
      <c r="B183">
        <f>VLOOKUP(A183,[1]Pesos!$A:$E,5,0)</f>
        <v>0</v>
      </c>
    </row>
    <row r="184" spans="1:2" x14ac:dyDescent="0.25">
      <c r="A184" s="5" t="s">
        <v>368</v>
      </c>
      <c r="B184">
        <f>VLOOKUP(A184,[1]Pesos!$A:$E,5,0)</f>
        <v>0</v>
      </c>
    </row>
    <row r="185" spans="1:2" x14ac:dyDescent="0.25">
      <c r="A185" s="5" t="s">
        <v>370</v>
      </c>
      <c r="B185">
        <f>VLOOKUP(A185,[1]Pesos!$A:$E,5,0)</f>
        <v>0</v>
      </c>
    </row>
    <row r="186" spans="1:2" x14ac:dyDescent="0.25">
      <c r="A186" s="5" t="s">
        <v>372</v>
      </c>
      <c r="B186">
        <f>VLOOKUP(A186,[1]Pesos!$A:$E,5,0)</f>
        <v>0</v>
      </c>
    </row>
    <row r="187" spans="1:2" x14ac:dyDescent="0.25">
      <c r="A187" s="5" t="s">
        <v>374</v>
      </c>
      <c r="B187">
        <f>VLOOKUP(A187,[1]Pesos!$A:$E,5,0)</f>
        <v>0</v>
      </c>
    </row>
    <row r="188" spans="1:2" x14ac:dyDescent="0.25">
      <c r="A188" s="5" t="s">
        <v>376</v>
      </c>
      <c r="B188">
        <f>VLOOKUP(A188,[1]Pesos!$A:$E,5,0)</f>
        <v>15</v>
      </c>
    </row>
    <row r="189" spans="1:2" x14ac:dyDescent="0.25">
      <c r="A189" s="5" t="s">
        <v>378</v>
      </c>
      <c r="B189">
        <f>VLOOKUP(A189,[1]Pesos!$A:$E,5,0)</f>
        <v>15</v>
      </c>
    </row>
    <row r="190" spans="1:2" x14ac:dyDescent="0.25">
      <c r="A190" s="5" t="s">
        <v>380</v>
      </c>
      <c r="B190">
        <f>VLOOKUP(A190,[1]Pesos!$A:$E,5,0)</f>
        <v>50</v>
      </c>
    </row>
    <row r="191" spans="1:2" x14ac:dyDescent="0.25">
      <c r="A191" s="5" t="s">
        <v>382</v>
      </c>
      <c r="B191">
        <f>VLOOKUP(A191,[1]Pesos!$A:$E,5,0)</f>
        <v>1000</v>
      </c>
    </row>
    <row r="192" spans="1:2" x14ac:dyDescent="0.25">
      <c r="A192" s="5" t="s">
        <v>384</v>
      </c>
      <c r="B192">
        <f>VLOOKUP(A192,[1]Pesos!$A:$E,5,0)</f>
        <v>160</v>
      </c>
    </row>
    <row r="193" spans="1:2" x14ac:dyDescent="0.25">
      <c r="A193" s="5" t="s">
        <v>386</v>
      </c>
      <c r="B193">
        <f>VLOOKUP(A193,[1]Pesos!$A:$E,5,0)</f>
        <v>0</v>
      </c>
    </row>
    <row r="194" spans="1:2" x14ac:dyDescent="0.25">
      <c r="A194" s="5" t="s">
        <v>388</v>
      </c>
      <c r="B194">
        <f>VLOOKUP(A194,[1]Pesos!$A:$E,5,0)</f>
        <v>75</v>
      </c>
    </row>
    <row r="195" spans="1:2" x14ac:dyDescent="0.25">
      <c r="A195" s="5" t="s">
        <v>390</v>
      </c>
      <c r="B195">
        <f>VLOOKUP(A195,[1]Pesos!$A:$E,5,0)</f>
        <v>90</v>
      </c>
    </row>
    <row r="196" spans="1:2" x14ac:dyDescent="0.25">
      <c r="A196" s="5" t="s">
        <v>392</v>
      </c>
      <c r="B196">
        <f>VLOOKUP(A196,[1]Pesos!$A:$E,5,0)</f>
        <v>100</v>
      </c>
    </row>
    <row r="197" spans="1:2" x14ac:dyDescent="0.25">
      <c r="A197" s="5" t="s">
        <v>394</v>
      </c>
      <c r="B197">
        <f>VLOOKUP(A197,[1]Pesos!$A:$E,5,0)</f>
        <v>100</v>
      </c>
    </row>
    <row r="198" spans="1:2" x14ac:dyDescent="0.25">
      <c r="A198" s="5" t="s">
        <v>396</v>
      </c>
      <c r="B198">
        <f>VLOOKUP(A198,[1]Pesos!$A:$E,5,0)</f>
        <v>100</v>
      </c>
    </row>
    <row r="199" spans="1:2" x14ac:dyDescent="0.25">
      <c r="A199" s="5" t="s">
        <v>398</v>
      </c>
      <c r="B199">
        <f>VLOOKUP(A199,[1]Pesos!$A:$E,5,0)</f>
        <v>100</v>
      </c>
    </row>
    <row r="200" spans="1:2" x14ac:dyDescent="0.25">
      <c r="A200" s="5" t="s">
        <v>400</v>
      </c>
      <c r="B200">
        <f>VLOOKUP(A200,[1]Pesos!$A:$E,5,0)</f>
        <v>30</v>
      </c>
    </row>
    <row r="201" spans="1:2" x14ac:dyDescent="0.25">
      <c r="A201" s="5" t="s">
        <v>402</v>
      </c>
      <c r="B201">
        <f>VLOOKUP(A201,[1]Pesos!$A:$E,5,0)</f>
        <v>50</v>
      </c>
    </row>
    <row r="202" spans="1:2" x14ac:dyDescent="0.25">
      <c r="A202" s="5" t="s">
        <v>404</v>
      </c>
      <c r="B202">
        <f>VLOOKUP(A202,[1]Pesos!$A:$E,5,0)</f>
        <v>0</v>
      </c>
    </row>
    <row r="203" spans="1:2" x14ac:dyDescent="0.25">
      <c r="A203" s="5" t="s">
        <v>406</v>
      </c>
      <c r="B203">
        <f>VLOOKUP(A203,[1]Pesos!$A:$E,5,0)</f>
        <v>10</v>
      </c>
    </row>
    <row r="204" spans="1:2" x14ac:dyDescent="0.25">
      <c r="A204" s="5" t="s">
        <v>408</v>
      </c>
      <c r="B204">
        <f>VLOOKUP(A204,[1]Pesos!$A:$E,5,0)</f>
        <v>40</v>
      </c>
    </row>
    <row r="205" spans="1:2" x14ac:dyDescent="0.25">
      <c r="A205" s="5" t="s">
        <v>410</v>
      </c>
      <c r="B205">
        <f>VLOOKUP(A205,[1]Pesos!$A:$E,5,0)</f>
        <v>0</v>
      </c>
    </row>
    <row r="206" spans="1:2" x14ac:dyDescent="0.25">
      <c r="A206" s="5" t="s">
        <v>412</v>
      </c>
      <c r="B206">
        <f>VLOOKUP(A206,[1]Pesos!$A:$E,5,0)</f>
        <v>0</v>
      </c>
    </row>
    <row r="207" spans="1:2" x14ac:dyDescent="0.25">
      <c r="A207" s="5" t="s">
        <v>414</v>
      </c>
      <c r="B207">
        <f>VLOOKUP(A207,[1]Pesos!$A:$E,5,0)</f>
        <v>0</v>
      </c>
    </row>
    <row r="208" spans="1:2" x14ac:dyDescent="0.25">
      <c r="A208" s="5" t="s">
        <v>416</v>
      </c>
      <c r="B208">
        <f>VLOOKUP(A208,[1]Pesos!$A:$E,5,0)</f>
        <v>0</v>
      </c>
    </row>
    <row r="209" spans="1:2" x14ac:dyDescent="0.25">
      <c r="A209" s="5" t="s">
        <v>418</v>
      </c>
      <c r="B209">
        <f>VLOOKUP(A209,[1]Pesos!$A:$E,5,0)</f>
        <v>0</v>
      </c>
    </row>
    <row r="210" spans="1:2" x14ac:dyDescent="0.25">
      <c r="A210" s="5" t="s">
        <v>420</v>
      </c>
      <c r="B210">
        <f>VLOOKUP(A210,[1]Pesos!$A:$E,5,0)</f>
        <v>0</v>
      </c>
    </row>
    <row r="211" spans="1:2" x14ac:dyDescent="0.25">
      <c r="A211" s="5" t="s">
        <v>422</v>
      </c>
      <c r="B211">
        <f>VLOOKUP(A211,[1]Pesos!$A:$E,5,0)</f>
        <v>0</v>
      </c>
    </row>
    <row r="212" spans="1:2" x14ac:dyDescent="0.25">
      <c r="A212" s="5" t="s">
        <v>424</v>
      </c>
      <c r="B212">
        <f>VLOOKUP(A212,[1]Pesos!$A:$E,5,0)</f>
        <v>0</v>
      </c>
    </row>
    <row r="213" spans="1:2" x14ac:dyDescent="0.25">
      <c r="A213" s="5" t="s">
        <v>426</v>
      </c>
      <c r="B213">
        <f>VLOOKUP(A213,[1]Pesos!$A:$E,5,0)</f>
        <v>0</v>
      </c>
    </row>
    <row r="214" spans="1:2" x14ac:dyDescent="0.25">
      <c r="A214" s="5" t="s">
        <v>428</v>
      </c>
      <c r="B214">
        <f>VLOOKUP(A214,[1]Pesos!$A:$E,5,0)</f>
        <v>75</v>
      </c>
    </row>
    <row r="215" spans="1:2" x14ac:dyDescent="0.25">
      <c r="A215" s="5" t="s">
        <v>430</v>
      </c>
      <c r="B215">
        <f>VLOOKUP(A215,[1]Pesos!$A:$E,5,0)</f>
        <v>35</v>
      </c>
    </row>
    <row r="216" spans="1:2" x14ac:dyDescent="0.25">
      <c r="A216" s="5" t="s">
        <v>432</v>
      </c>
      <c r="B216">
        <f>VLOOKUP(A216,[1]Pesos!$A:$E,5,0)</f>
        <v>35</v>
      </c>
    </row>
    <row r="217" spans="1:2" x14ac:dyDescent="0.25">
      <c r="A217" s="5" t="s">
        <v>434</v>
      </c>
      <c r="B217">
        <f>VLOOKUP(A217,[1]Pesos!$A:$E,5,0)</f>
        <v>35</v>
      </c>
    </row>
    <row r="218" spans="1:2" x14ac:dyDescent="0.25">
      <c r="A218" s="5" t="s">
        <v>436</v>
      </c>
      <c r="B218">
        <f>VLOOKUP(A218,[1]Pesos!$A:$E,5,0)</f>
        <v>20</v>
      </c>
    </row>
    <row r="219" spans="1:2" x14ac:dyDescent="0.25">
      <c r="A219" s="5" t="s">
        <v>438</v>
      </c>
      <c r="B219">
        <f>VLOOKUP(A219,[1]Pesos!$A:$E,5,0)</f>
        <v>20</v>
      </c>
    </row>
    <row r="220" spans="1:2" x14ac:dyDescent="0.25">
      <c r="A220" s="5" t="s">
        <v>440</v>
      </c>
      <c r="B220">
        <f>VLOOKUP(A220,[1]Pesos!$A:$E,5,0)</f>
        <v>20</v>
      </c>
    </row>
    <row r="221" spans="1:2" x14ac:dyDescent="0.25">
      <c r="A221" s="5" t="s">
        <v>442</v>
      </c>
      <c r="B221">
        <f>VLOOKUP(A221,[1]Pesos!$A:$E,5,0)</f>
        <v>20</v>
      </c>
    </row>
    <row r="222" spans="1:2" x14ac:dyDescent="0.25">
      <c r="A222" s="5" t="s">
        <v>444</v>
      </c>
      <c r="B222">
        <f>VLOOKUP(A222,[1]Pesos!$A:$E,5,0)</f>
        <v>20</v>
      </c>
    </row>
    <row r="223" spans="1:2" x14ac:dyDescent="0.25">
      <c r="A223" s="5" t="s">
        <v>446</v>
      </c>
      <c r="B223">
        <f>VLOOKUP(A223,[1]Pesos!$A:$E,5,0)</f>
        <v>20</v>
      </c>
    </row>
    <row r="224" spans="1:2" x14ac:dyDescent="0.25">
      <c r="A224" s="5" t="s">
        <v>448</v>
      </c>
      <c r="B224" t="e">
        <f>VLOOKUP(A224,[1]Pesos!$A:$E,5,0)</f>
        <v>#N/A</v>
      </c>
    </row>
    <row r="225" spans="1:2" x14ac:dyDescent="0.25">
      <c r="A225" s="5" t="s">
        <v>450</v>
      </c>
      <c r="B225" t="e">
        <f>VLOOKUP(A225,[1]Pesos!$A:$E,5,0)</f>
        <v>#N/A</v>
      </c>
    </row>
    <row r="226" spans="1:2" x14ac:dyDescent="0.25">
      <c r="A226" s="5" t="s">
        <v>570</v>
      </c>
      <c r="B226" t="e">
        <f>VLOOKUP(A226,[1]Pesos!$A:$E,5,0)</f>
        <v>#N/A</v>
      </c>
    </row>
    <row r="227" spans="1:2" x14ac:dyDescent="0.25">
      <c r="A227" s="5" t="s">
        <v>452</v>
      </c>
      <c r="B227">
        <f>VLOOKUP(A227,[1]Pesos!$A:$E,5,0)</f>
        <v>15</v>
      </c>
    </row>
    <row r="228" spans="1:2" x14ac:dyDescent="0.25">
      <c r="A228" s="5" t="s">
        <v>454</v>
      </c>
      <c r="B228">
        <f>VLOOKUP(A228,[1]Pesos!$A:$E,5,0)</f>
        <v>70</v>
      </c>
    </row>
    <row r="229" spans="1:2" x14ac:dyDescent="0.25">
      <c r="A229" s="5" t="s">
        <v>456</v>
      </c>
      <c r="B229">
        <f>VLOOKUP(A229,[1]Pesos!$A:$E,5,0)</f>
        <v>35</v>
      </c>
    </row>
    <row r="230" spans="1:2" x14ac:dyDescent="0.25">
      <c r="A230" s="5" t="s">
        <v>458</v>
      </c>
      <c r="B230">
        <f>VLOOKUP(A230,[1]Pesos!$A:$E,5,0)</f>
        <v>120</v>
      </c>
    </row>
    <row r="231" spans="1:2" x14ac:dyDescent="0.25">
      <c r="A231" s="5" t="s">
        <v>460</v>
      </c>
      <c r="B231">
        <f>VLOOKUP(A231,[1]Pesos!$A:$E,5,0)</f>
        <v>50</v>
      </c>
    </row>
    <row r="232" spans="1:2" x14ac:dyDescent="0.25">
      <c r="A232" s="5" t="s">
        <v>462</v>
      </c>
      <c r="B232">
        <f>VLOOKUP(A232,[1]Pesos!$A:$E,5,0)</f>
        <v>40</v>
      </c>
    </row>
    <row r="233" spans="1:2" x14ac:dyDescent="0.25">
      <c r="A233" s="5" t="s">
        <v>464</v>
      </c>
      <c r="B233" t="e">
        <f>VLOOKUP(A233,[1]Pesos!$A:$E,5,0)</f>
        <v>#N/A</v>
      </c>
    </row>
    <row r="234" spans="1:2" x14ac:dyDescent="0.25">
      <c r="A234" s="5" t="s">
        <v>466</v>
      </c>
      <c r="B234" t="e">
        <f>VLOOKUP(A234,[1]Pesos!$A:$E,5,0)</f>
        <v>#N/A</v>
      </c>
    </row>
    <row r="235" spans="1:2" x14ac:dyDescent="0.25">
      <c r="A235" s="5" t="s">
        <v>468</v>
      </c>
      <c r="B235">
        <f>VLOOKUP(A235,[1]Pesos!$A:$E,5,0)</f>
        <v>80</v>
      </c>
    </row>
    <row r="236" spans="1:2" x14ac:dyDescent="0.25">
      <c r="A236" s="5" t="s">
        <v>470</v>
      </c>
      <c r="B236">
        <f>VLOOKUP(A236,[1]Pesos!$A:$E,5,0)</f>
        <v>40</v>
      </c>
    </row>
    <row r="237" spans="1:2" x14ac:dyDescent="0.25">
      <c r="A237" s="5" t="s">
        <v>472</v>
      </c>
      <c r="B237">
        <f>VLOOKUP(A237,[1]Pesos!$A:$E,5,0)</f>
        <v>30</v>
      </c>
    </row>
    <row r="238" spans="1:2" x14ac:dyDescent="0.25">
      <c r="A238" s="5" t="s">
        <v>474</v>
      </c>
      <c r="B238">
        <f>VLOOKUP(A238,[1]Pesos!$A:$E,5,0)</f>
        <v>40</v>
      </c>
    </row>
    <row r="239" spans="1:2" x14ac:dyDescent="0.25">
      <c r="A239" s="5" t="s">
        <v>476</v>
      </c>
      <c r="B239">
        <f>VLOOKUP(A239,[1]Pesos!$A:$E,5,0)</f>
        <v>0</v>
      </c>
    </row>
    <row r="240" spans="1:2" x14ac:dyDescent="0.25">
      <c r="A240" s="5" t="s">
        <v>478</v>
      </c>
      <c r="B240">
        <f>VLOOKUP(A240,[1]Pesos!$A:$E,5,0)</f>
        <v>30</v>
      </c>
    </row>
    <row r="241" spans="1:2" x14ac:dyDescent="0.25">
      <c r="A241" s="5" t="s">
        <v>480</v>
      </c>
      <c r="B241">
        <f>VLOOKUP(A241,[1]Pesos!$A:$E,5,0)</f>
        <v>0</v>
      </c>
    </row>
    <row r="242" spans="1:2" x14ac:dyDescent="0.25">
      <c r="A242" s="5" t="s">
        <v>482</v>
      </c>
      <c r="B242">
        <f>VLOOKUP(A242,[1]Pesos!$A:$E,5,0)</f>
        <v>0</v>
      </c>
    </row>
    <row r="243" spans="1:2" x14ac:dyDescent="0.25">
      <c r="A243" s="5" t="s">
        <v>484</v>
      </c>
      <c r="B243">
        <f>VLOOKUP(A243,[1]Pesos!$A:$E,5,0)</f>
        <v>75</v>
      </c>
    </row>
    <row r="244" spans="1:2" x14ac:dyDescent="0.25">
      <c r="A244" s="5" t="s">
        <v>486</v>
      </c>
      <c r="B244">
        <f>VLOOKUP(A244,[1]Pesos!$A:$E,5,0)</f>
        <v>350</v>
      </c>
    </row>
    <row r="245" spans="1:2" x14ac:dyDescent="0.25">
      <c r="A245" s="5" t="s">
        <v>488</v>
      </c>
      <c r="B245">
        <f>VLOOKUP(A245,[1]Pesos!$A:$E,5,0)</f>
        <v>0</v>
      </c>
    </row>
    <row r="246" spans="1:2" x14ac:dyDescent="0.25">
      <c r="A246" s="5" t="s">
        <v>490</v>
      </c>
      <c r="B246" t="e">
        <f>VLOOKUP(A246,[1]Pesos!$A:$E,5,0)</f>
        <v>#N/A</v>
      </c>
    </row>
    <row r="247" spans="1:2" x14ac:dyDescent="0.25">
      <c r="A247" s="5" t="s">
        <v>492</v>
      </c>
      <c r="B247">
        <f>VLOOKUP(A247,[1]Pesos!$A:$E,5,0)</f>
        <v>15</v>
      </c>
    </row>
    <row r="248" spans="1:2" x14ac:dyDescent="0.25">
      <c r="A248" s="5" t="s">
        <v>494</v>
      </c>
      <c r="B248">
        <f>VLOOKUP(A248,[1]Pesos!$A:$E,5,0)</f>
        <v>15</v>
      </c>
    </row>
    <row r="249" spans="1:2" x14ac:dyDescent="0.25">
      <c r="A249" s="5" t="s">
        <v>496</v>
      </c>
      <c r="B249">
        <f>VLOOKUP(A249,[1]Pesos!$A:$E,5,0)</f>
        <v>1100</v>
      </c>
    </row>
    <row r="250" spans="1:2" x14ac:dyDescent="0.25">
      <c r="A250" s="5" t="s">
        <v>498</v>
      </c>
      <c r="B250">
        <f>VLOOKUP(A250,[1]Pesos!$A:$E,5,0)</f>
        <v>1100</v>
      </c>
    </row>
    <row r="251" spans="1:2" x14ac:dyDescent="0.25">
      <c r="A251" s="5" t="s">
        <v>500</v>
      </c>
      <c r="B251" t="e">
        <f>VLOOKUP(A251,[1]Pesos!$A:$E,5,0)</f>
        <v>#N/A</v>
      </c>
    </row>
    <row r="252" spans="1:2" x14ac:dyDescent="0.25">
      <c r="A252" s="5" t="s">
        <v>502</v>
      </c>
      <c r="B252" t="e">
        <f>VLOOKUP(A252,[1]Pesos!$A:$E,5,0)</f>
        <v>#N/A</v>
      </c>
    </row>
    <row r="253" spans="1:2" x14ac:dyDescent="0.25">
      <c r="A253" s="5" t="s">
        <v>504</v>
      </c>
      <c r="B253" t="e">
        <f>VLOOKUP(A253,[1]Pesos!$A:$E,5,0)</f>
        <v>#N/A</v>
      </c>
    </row>
    <row r="254" spans="1:2" x14ac:dyDescent="0.25">
      <c r="A254" s="5" t="s">
        <v>506</v>
      </c>
      <c r="B254" t="e">
        <f>VLOOKUP(A254,[1]Pesos!$A:$E,5,0)</f>
        <v>#N/A</v>
      </c>
    </row>
    <row r="255" spans="1:2" x14ac:dyDescent="0.25">
      <c r="A255" s="5" t="s">
        <v>508</v>
      </c>
      <c r="B255" t="e">
        <f>VLOOKUP(A255,[1]Pesos!$A:$E,5,0)</f>
        <v>#N/A</v>
      </c>
    </row>
    <row r="256" spans="1:2" x14ac:dyDescent="0.25">
      <c r="A256" s="5" t="s">
        <v>510</v>
      </c>
      <c r="B256" t="e">
        <f>VLOOKUP(A256,[1]Pesos!$A:$E,5,0)</f>
        <v>#N/A</v>
      </c>
    </row>
    <row r="257" spans="1:2" x14ac:dyDescent="0.25">
      <c r="A257" s="5" t="s">
        <v>512</v>
      </c>
      <c r="B257" t="e">
        <f>VLOOKUP(A257,[1]Pesos!$A:$E,5,0)</f>
        <v>#N/A</v>
      </c>
    </row>
    <row r="258" spans="1:2" x14ac:dyDescent="0.25">
      <c r="A258" s="5" t="s">
        <v>514</v>
      </c>
      <c r="B258" t="e">
        <f>VLOOKUP(A258,[1]Pesos!$A:$E,5,0)</f>
        <v>#N/A</v>
      </c>
    </row>
    <row r="259" spans="1:2" x14ac:dyDescent="0.25">
      <c r="A259" s="5" t="s">
        <v>516</v>
      </c>
      <c r="B259" t="e">
        <f>VLOOKUP(A259,[1]Pesos!$A:$E,5,0)</f>
        <v>#N/A</v>
      </c>
    </row>
    <row r="260" spans="1:2" x14ac:dyDescent="0.25">
      <c r="A260" s="5" t="s">
        <v>518</v>
      </c>
      <c r="B260" t="e">
        <f>VLOOKUP(A260,[1]Pesos!$A:$E,5,0)</f>
        <v>#N/A</v>
      </c>
    </row>
    <row r="261" spans="1:2" x14ac:dyDescent="0.25">
      <c r="A261" s="5" t="s">
        <v>520</v>
      </c>
      <c r="B261" t="e">
        <f>VLOOKUP(A261,[1]Pesos!$A:$E,5,0)</f>
        <v>#N/A</v>
      </c>
    </row>
    <row r="262" spans="1:2" x14ac:dyDescent="0.25">
      <c r="A262" s="5" t="s">
        <v>522</v>
      </c>
      <c r="B262" t="e">
        <f>VLOOKUP(A262,[1]Pesos!$A:$E,5,0)</f>
        <v>#N/A</v>
      </c>
    </row>
    <row r="263" spans="1:2" x14ac:dyDescent="0.25">
      <c r="A263" s="5" t="s">
        <v>524</v>
      </c>
      <c r="B263" t="e">
        <f>VLOOKUP(A263,[1]Pesos!$A:$E,5,0)</f>
        <v>#N/A</v>
      </c>
    </row>
    <row r="264" spans="1:2" x14ac:dyDescent="0.25">
      <c r="A264" s="5" t="s">
        <v>526</v>
      </c>
      <c r="B264" t="e">
        <f>VLOOKUP(A264,[1]Pesos!$A:$E,5,0)</f>
        <v>#N/A</v>
      </c>
    </row>
    <row r="265" spans="1:2" x14ac:dyDescent="0.25">
      <c r="A265" s="5" t="s">
        <v>528</v>
      </c>
      <c r="B265" t="e">
        <f>VLOOKUP(A265,[1]Pesos!$A:$E,5,0)</f>
        <v>#N/A</v>
      </c>
    </row>
    <row r="266" spans="1:2" x14ac:dyDescent="0.25">
      <c r="A266" s="5" t="s">
        <v>530</v>
      </c>
      <c r="B266" t="e">
        <f>VLOOKUP(A266,[1]Pesos!$A:$E,5,0)</f>
        <v>#N/A</v>
      </c>
    </row>
    <row r="267" spans="1:2" x14ac:dyDescent="0.25">
      <c r="A267" s="5" t="s">
        <v>532</v>
      </c>
      <c r="B267" t="e">
        <f>VLOOKUP(A267,[1]Pesos!$A:$E,5,0)</f>
        <v>#N/A</v>
      </c>
    </row>
    <row r="268" spans="1:2" x14ac:dyDescent="0.25">
      <c r="A268" s="5" t="s">
        <v>534</v>
      </c>
      <c r="B268" t="e">
        <f>VLOOKUP(A268,[1]Pesos!$A:$E,5,0)</f>
        <v>#N/A</v>
      </c>
    </row>
    <row r="269" spans="1:2" x14ac:dyDescent="0.25">
      <c r="A269" s="5" t="s">
        <v>536</v>
      </c>
      <c r="B269" t="e">
        <f>VLOOKUP(A269,[1]Pesos!$A:$E,5,0)</f>
        <v>#N/A</v>
      </c>
    </row>
    <row r="270" spans="1:2" x14ac:dyDescent="0.25">
      <c r="A270" s="5" t="s">
        <v>538</v>
      </c>
      <c r="B270" t="e">
        <f>VLOOKUP(A270,[1]Pesos!$A:$E,5,0)</f>
        <v>#N/A</v>
      </c>
    </row>
    <row r="271" spans="1:2" x14ac:dyDescent="0.25">
      <c r="A271" s="5" t="s">
        <v>540</v>
      </c>
      <c r="B271" t="e">
        <f>VLOOKUP(A271,[1]Pesos!$A:$E,5,0)</f>
        <v>#N/A</v>
      </c>
    </row>
    <row r="272" spans="1:2" x14ac:dyDescent="0.25">
      <c r="A272" s="5" t="s">
        <v>542</v>
      </c>
      <c r="B272" t="e">
        <f>VLOOKUP(A272,[1]Pesos!$A:$E,5,0)</f>
        <v>#N/A</v>
      </c>
    </row>
    <row r="273" spans="1:2" x14ac:dyDescent="0.25">
      <c r="A273" s="5" t="s">
        <v>544</v>
      </c>
      <c r="B273" t="e">
        <f>VLOOKUP(A273,[1]Pesos!$A:$E,5,0)</f>
        <v>#N/A</v>
      </c>
    </row>
    <row r="274" spans="1:2" x14ac:dyDescent="0.25">
      <c r="A274" s="5" t="s">
        <v>546</v>
      </c>
      <c r="B274" t="e">
        <f>VLOOKUP(A274,[1]Pesos!$A:$E,5,0)</f>
        <v>#N/A</v>
      </c>
    </row>
    <row r="275" spans="1:2" x14ac:dyDescent="0.25">
      <c r="A275" s="5" t="s">
        <v>548</v>
      </c>
      <c r="B275">
        <f>VLOOKUP(A275,[1]Pesos!$A:$E,5,0)</f>
        <v>0</v>
      </c>
    </row>
    <row r="276" spans="1:2" x14ac:dyDescent="0.25">
      <c r="A276" s="5" t="s">
        <v>550</v>
      </c>
      <c r="B276">
        <f>VLOOKUP(A276,[1]Pesos!$A:$E,5,0)</f>
        <v>0</v>
      </c>
    </row>
    <row r="277" spans="1:2" x14ac:dyDescent="0.25">
      <c r="A277" s="5" t="s">
        <v>552</v>
      </c>
      <c r="B277">
        <f>VLOOKUP(A277,[1]Pesos!$A:$E,5,0)</f>
        <v>510</v>
      </c>
    </row>
    <row r="278" spans="1:2" x14ac:dyDescent="0.25">
      <c r="A278" s="5" t="s">
        <v>554</v>
      </c>
      <c r="B278">
        <f>VLOOKUP(A278,[1]Pesos!$A:$E,5,0)</f>
        <v>0</v>
      </c>
    </row>
    <row r="279" spans="1:2" x14ac:dyDescent="0.25">
      <c r="A279" s="5" t="s">
        <v>556</v>
      </c>
      <c r="B279" t="e">
        <f>VLOOKUP(A279,[1]Pesos!$A:$E,5,0)</f>
        <v>#N/A</v>
      </c>
    </row>
    <row r="280" spans="1:2" x14ac:dyDescent="0.25">
      <c r="A280" s="5" t="s">
        <v>558</v>
      </c>
      <c r="B280" t="e">
        <f>VLOOKUP(A280,[1]Pesos!$A:$E,5,0)</f>
        <v>#N/A</v>
      </c>
    </row>
    <row r="281" spans="1:2" x14ac:dyDescent="0.25">
      <c r="A281" s="5" t="s">
        <v>560</v>
      </c>
      <c r="B281" t="e">
        <f>VLOOKUP(A281,[1]Pesos!$A:$E,5,0)</f>
        <v>#N/A</v>
      </c>
    </row>
    <row r="282" spans="1:2" x14ac:dyDescent="0.25">
      <c r="A282" s="5" t="s">
        <v>562</v>
      </c>
      <c r="B282" t="e">
        <f>VLOOKUP(A282,[1]Pesos!$A:$E,5,0)</f>
        <v>#N/A</v>
      </c>
    </row>
    <row r="283" spans="1:2" x14ac:dyDescent="0.25">
      <c r="A283" s="5" t="s">
        <v>564</v>
      </c>
      <c r="B283" t="e">
        <f>VLOOKUP(A283,[1]Pesos!$A:$E,5,0)</f>
        <v>#N/A</v>
      </c>
    </row>
    <row r="284" spans="1:2" x14ac:dyDescent="0.25">
      <c r="A284" s="5" t="s">
        <v>566</v>
      </c>
      <c r="B284" t="e">
        <f>VLOOKUP(A284,[1]Pesos!$A:$E,5,0)</f>
        <v>#N/A</v>
      </c>
    </row>
    <row r="285" spans="1:2" x14ac:dyDescent="0.25">
      <c r="A285" s="5" t="s">
        <v>550</v>
      </c>
      <c r="B285">
        <f>VLOOKUP(A285,[1]Pesos!$A:$E,5,0)</f>
        <v>0</v>
      </c>
    </row>
    <row r="286" spans="1:2" x14ac:dyDescent="0.25">
      <c r="B286">
        <f>VLOOKUP(A286,[1]Pesos!$A:$E,5,0)</f>
        <v>0</v>
      </c>
    </row>
    <row r="287" spans="1:2" x14ac:dyDescent="0.25">
      <c r="A287" s="12" t="s">
        <v>578</v>
      </c>
      <c r="B287" t="e">
        <f>VLOOKUP(A287,[1]Pesos!$A:$E,5,0)</f>
        <v>#N/A</v>
      </c>
    </row>
    <row r="288" spans="1:2" x14ac:dyDescent="0.25">
      <c r="A288" s="12" t="s">
        <v>580</v>
      </c>
      <c r="B288" t="e">
        <f>VLOOKUP(A288,[1]Pesos!$A:$E,5,0)</f>
        <v>#N/A</v>
      </c>
    </row>
    <row r="289" spans="1:2" x14ac:dyDescent="0.25">
      <c r="A289" s="12" t="s">
        <v>582</v>
      </c>
      <c r="B289" t="e">
        <f>VLOOKUP(A289,[1]Pesos!$A:$E,5,0)</f>
        <v>#N/A</v>
      </c>
    </row>
    <row r="290" spans="1:2" x14ac:dyDescent="0.25">
      <c r="A290" s="12" t="s">
        <v>584</v>
      </c>
      <c r="B290">
        <f>VLOOKUP(A290,[1]Pesos!$A:$E,5,0)</f>
        <v>60</v>
      </c>
    </row>
    <row r="291" spans="1:2" x14ac:dyDescent="0.25">
      <c r="A291" s="12" t="s">
        <v>586</v>
      </c>
      <c r="B291" t="e">
        <f>VLOOKUP(A291,[1]Pesos!$A:$E,5,0)</f>
        <v>#N/A</v>
      </c>
    </row>
    <row r="292" spans="1:2" x14ac:dyDescent="0.25">
      <c r="A292" s="12" t="s">
        <v>588</v>
      </c>
      <c r="B292" t="e">
        <f>VLOOKUP(A292,[1]Pesos!$A:$E,5,0)</f>
        <v>#N/A</v>
      </c>
    </row>
    <row r="293" spans="1:2" x14ac:dyDescent="0.25">
      <c r="A293" s="12" t="s">
        <v>590</v>
      </c>
      <c r="B293">
        <f>VLOOKUP(A293,[1]Pesos!$A:$E,5,0)</f>
        <v>80</v>
      </c>
    </row>
    <row r="294" spans="1:2" x14ac:dyDescent="0.25">
      <c r="A294" s="12" t="s">
        <v>592</v>
      </c>
      <c r="B294">
        <f>VLOOKUP(A294,[1]Pesos!$A:$E,5,0)</f>
        <v>80</v>
      </c>
    </row>
    <row r="295" spans="1:2" x14ac:dyDescent="0.25">
      <c r="A295" s="12" t="s">
        <v>594</v>
      </c>
      <c r="B295">
        <f>VLOOKUP(A295,[1]Pesos!$A:$E,5,0)</f>
        <v>80</v>
      </c>
    </row>
    <row r="296" spans="1:2" x14ac:dyDescent="0.25">
      <c r="A296" s="12" t="s">
        <v>596</v>
      </c>
      <c r="B296">
        <f>VLOOKUP(A296,[1]Pesos!$A:$E,5,0)</f>
        <v>80</v>
      </c>
    </row>
    <row r="297" spans="1:2" x14ac:dyDescent="0.25">
      <c r="A297" s="12" t="s">
        <v>598</v>
      </c>
      <c r="B297">
        <f>VLOOKUP(A297,[1]Pesos!$A:$E,5,0)</f>
        <v>80</v>
      </c>
    </row>
    <row r="298" spans="1:2" x14ac:dyDescent="0.25">
      <c r="A298" s="12" t="s">
        <v>600</v>
      </c>
      <c r="B298" t="e">
        <f>VLOOKUP(A298,[1]Pesos!$A:$E,5,0)</f>
        <v>#N/A</v>
      </c>
    </row>
    <row r="299" spans="1:2" x14ac:dyDescent="0.25">
      <c r="A299" s="12" t="s">
        <v>602</v>
      </c>
      <c r="B299" t="e">
        <f>VLOOKUP(A299,[1]Pesos!$A:$E,5,0)</f>
        <v>#N/A</v>
      </c>
    </row>
    <row r="300" spans="1:2" x14ac:dyDescent="0.25">
      <c r="A300" s="12" t="s">
        <v>604</v>
      </c>
      <c r="B300" t="e">
        <f>VLOOKUP(A300,[1]Pesos!$A:$E,5,0)</f>
        <v>#N/A</v>
      </c>
    </row>
    <row r="301" spans="1:2" x14ac:dyDescent="0.25">
      <c r="A301" s="12" t="s">
        <v>605</v>
      </c>
      <c r="B301" t="e">
        <f>VLOOKUP(A301,[1]Pesos!$A:$E,5,0)</f>
        <v>#N/A</v>
      </c>
    </row>
    <row r="302" spans="1:2" x14ac:dyDescent="0.25">
      <c r="A302" s="12" t="s">
        <v>606</v>
      </c>
      <c r="B302" t="e">
        <f>VLOOKUP(A302,[1]Pesos!$A:$E,5,0)</f>
        <v>#N/A</v>
      </c>
    </row>
    <row r="303" spans="1:2" x14ac:dyDescent="0.25">
      <c r="A303" s="12" t="s">
        <v>607</v>
      </c>
      <c r="B303">
        <f>VLOOKUP(A303,[1]Pesos!$A:$E,5,0)</f>
        <v>80</v>
      </c>
    </row>
    <row r="304" spans="1:2" x14ac:dyDescent="0.25">
      <c r="A304" s="12" t="s">
        <v>608</v>
      </c>
      <c r="B304">
        <f>VLOOKUP(A304,[1]Pesos!$A:$E,5,0)</f>
        <v>80</v>
      </c>
    </row>
    <row r="305" spans="1:2" x14ac:dyDescent="0.25">
      <c r="A305" s="12" t="s">
        <v>609</v>
      </c>
      <c r="B305">
        <f>VLOOKUP(A305,[1]Pesos!$A:$E,5,0)</f>
        <v>80</v>
      </c>
    </row>
    <row r="306" spans="1:2" x14ac:dyDescent="0.25">
      <c r="A306" s="12" t="s">
        <v>610</v>
      </c>
      <c r="B306" t="e">
        <f>VLOOKUP(A306,[1]Pesos!$A:$E,5,0)</f>
        <v>#N/A</v>
      </c>
    </row>
    <row r="307" spans="1:2" x14ac:dyDescent="0.25">
      <c r="A307" s="12" t="s">
        <v>611</v>
      </c>
      <c r="B307">
        <f>VLOOKUP(A307,[1]Pesos!$A:$E,5,0)</f>
        <v>0</v>
      </c>
    </row>
    <row r="308" spans="1:2" x14ac:dyDescent="0.25">
      <c r="A308" s="12" t="s">
        <v>612</v>
      </c>
      <c r="B308">
        <f>VLOOKUP(A308,[1]Pesos!$A:$E,5,0)</f>
        <v>10</v>
      </c>
    </row>
    <row r="309" spans="1:2" x14ac:dyDescent="0.25">
      <c r="A309" s="12" t="s">
        <v>613</v>
      </c>
      <c r="B309">
        <f>VLOOKUP(A309,[1]Pesos!$A:$E,5,0)</f>
        <v>0</v>
      </c>
    </row>
    <row r="310" spans="1:2" x14ac:dyDescent="0.25">
      <c r="A310" s="12" t="s">
        <v>614</v>
      </c>
      <c r="B310">
        <f>VLOOKUP(A310,[1]Pesos!$A:$E,5,0)</f>
        <v>0</v>
      </c>
    </row>
    <row r="311" spans="1:2" x14ac:dyDescent="0.25">
      <c r="A311" s="12" t="s">
        <v>615</v>
      </c>
      <c r="B311">
        <f>VLOOKUP(A311,[1]Pesos!$A:$E,5,0)</f>
        <v>0</v>
      </c>
    </row>
    <row r="312" spans="1:2" x14ac:dyDescent="0.25">
      <c r="A312" s="12" t="s">
        <v>616</v>
      </c>
      <c r="B312">
        <f>VLOOKUP(A312,[1]Pesos!$A:$E,5,0)</f>
        <v>0</v>
      </c>
    </row>
    <row r="313" spans="1:2" x14ac:dyDescent="0.25">
      <c r="A313" s="12" t="s">
        <v>617</v>
      </c>
      <c r="B313">
        <f>VLOOKUP(A313,[1]Pesos!$A:$E,5,0)</f>
        <v>0</v>
      </c>
    </row>
    <row r="314" spans="1:2" x14ac:dyDescent="0.25">
      <c r="A314" s="12" t="s">
        <v>618</v>
      </c>
      <c r="B314">
        <f>VLOOKUP(A314,[1]Pesos!$A:$E,5,0)</f>
        <v>0</v>
      </c>
    </row>
    <row r="315" spans="1:2" x14ac:dyDescent="0.25">
      <c r="A315" s="12" t="s">
        <v>619</v>
      </c>
      <c r="B315">
        <f>VLOOKUP(A315,[1]Pesos!$A:$E,5,0)</f>
        <v>0</v>
      </c>
    </row>
    <row r="316" spans="1:2" x14ac:dyDescent="0.25">
      <c r="A316" s="12" t="s">
        <v>620</v>
      </c>
      <c r="B316">
        <f>VLOOKUP(A316,[1]Pesos!$A:$E,5,0)</f>
        <v>10</v>
      </c>
    </row>
    <row r="317" spans="1:2" x14ac:dyDescent="0.25">
      <c r="A317" s="12" t="s">
        <v>621</v>
      </c>
      <c r="B317">
        <f>VLOOKUP(A317,[1]Pesos!$A:$E,5,0)</f>
        <v>0</v>
      </c>
    </row>
    <row r="318" spans="1:2" x14ac:dyDescent="0.25">
      <c r="A318" s="12" t="s">
        <v>622</v>
      </c>
      <c r="B318">
        <f>VLOOKUP(A318,[1]Pesos!$A:$E,5,0)</f>
        <v>0</v>
      </c>
    </row>
    <row r="319" spans="1:2" x14ac:dyDescent="0.25">
      <c r="A319" s="12" t="s">
        <v>623</v>
      </c>
      <c r="B319">
        <f>VLOOKUP(A319,[1]Pesos!$A:$E,5,0)</f>
        <v>10</v>
      </c>
    </row>
    <row r="320" spans="1:2" x14ac:dyDescent="0.25">
      <c r="A320" s="12" t="s">
        <v>624</v>
      </c>
      <c r="B320">
        <f>VLOOKUP(A320,[1]Pesos!$A:$E,5,0)</f>
        <v>0</v>
      </c>
    </row>
    <row r="321" spans="1:2" x14ac:dyDescent="0.25">
      <c r="A321" s="12" t="s">
        <v>625</v>
      </c>
      <c r="B321">
        <f>VLOOKUP(A321,[1]Pesos!$A:$E,5,0)</f>
        <v>0</v>
      </c>
    </row>
    <row r="322" spans="1:2" x14ac:dyDescent="0.25">
      <c r="A322" s="12" t="s">
        <v>626</v>
      </c>
      <c r="B322">
        <f>VLOOKUP(A322,[1]Pesos!$A:$E,5,0)</f>
        <v>0</v>
      </c>
    </row>
    <row r="323" spans="1:2" x14ac:dyDescent="0.25">
      <c r="A323" s="12" t="s">
        <v>627</v>
      </c>
      <c r="B323">
        <f>VLOOKUP(A323,[1]Pesos!$A:$E,5,0)</f>
        <v>0</v>
      </c>
    </row>
    <row r="324" spans="1:2" x14ac:dyDescent="0.25">
      <c r="A324" s="12" t="s">
        <v>628</v>
      </c>
      <c r="B324">
        <f>VLOOKUP(A324,[1]Pesos!$A:$E,5,0)</f>
        <v>10</v>
      </c>
    </row>
    <row r="325" spans="1:2" x14ac:dyDescent="0.25">
      <c r="A325" s="12" t="s">
        <v>629</v>
      </c>
      <c r="B325">
        <f>VLOOKUP(A325,[1]Pesos!$A:$E,5,0)</f>
        <v>10</v>
      </c>
    </row>
    <row r="326" spans="1:2" x14ac:dyDescent="0.25">
      <c r="A326" s="12" t="s">
        <v>630</v>
      </c>
      <c r="B326">
        <f>VLOOKUP(A326,[1]Pesos!$A:$E,5,0)</f>
        <v>0</v>
      </c>
    </row>
    <row r="327" spans="1:2" x14ac:dyDescent="0.25">
      <c r="A327" s="12" t="s">
        <v>661</v>
      </c>
      <c r="B327">
        <f>VLOOKUP(A327,[1]Pesos!$A:$E,5,0)</f>
        <v>15</v>
      </c>
    </row>
    <row r="328" spans="1:2" x14ac:dyDescent="0.25">
      <c r="A328" s="12" t="s">
        <v>662</v>
      </c>
      <c r="B328">
        <f>VLOOKUP(A328,[1]Pesos!$A:$E,5,0)</f>
        <v>0</v>
      </c>
    </row>
    <row r="329" spans="1:2" x14ac:dyDescent="0.25">
      <c r="A329" s="12" t="s">
        <v>663</v>
      </c>
      <c r="B329">
        <f>VLOOKUP(A329,[1]Pesos!$A:$E,5,0)</f>
        <v>15</v>
      </c>
    </row>
    <row r="330" spans="1:2" x14ac:dyDescent="0.25">
      <c r="A330" s="12" t="s">
        <v>664</v>
      </c>
      <c r="B330">
        <f>VLOOKUP(A330,[1]Pesos!$A:$E,5,0)</f>
        <v>0</v>
      </c>
    </row>
    <row r="331" spans="1:2" x14ac:dyDescent="0.25">
      <c r="A331" s="12" t="s">
        <v>636</v>
      </c>
      <c r="B331">
        <f>VLOOKUP(A331,[1]Pesos!$A:$E,5,0)</f>
        <v>15</v>
      </c>
    </row>
    <row r="332" spans="1:2" x14ac:dyDescent="0.25">
      <c r="A332" s="12" t="s">
        <v>638</v>
      </c>
      <c r="B332">
        <f>VLOOKUP(A332,[1]Pesos!$A:$E,5,0)</f>
        <v>0</v>
      </c>
    </row>
    <row r="333" spans="1:2" x14ac:dyDescent="0.25">
      <c r="A333" s="12" t="s">
        <v>639</v>
      </c>
      <c r="B333">
        <f>VLOOKUP(A333,[1]Pesos!$A:$E,5,0)</f>
        <v>0</v>
      </c>
    </row>
    <row r="334" spans="1:2" x14ac:dyDescent="0.25">
      <c r="A334" s="12" t="s">
        <v>641</v>
      </c>
      <c r="B334">
        <f>VLOOKUP(A334,[1]Pesos!$A:$E,5,0)</f>
        <v>20</v>
      </c>
    </row>
    <row r="335" spans="1:2" x14ac:dyDescent="0.25">
      <c r="A335" s="12" t="s">
        <v>643</v>
      </c>
      <c r="B335">
        <f>VLOOKUP(A335,[1]Pesos!$A:$E,5,0)</f>
        <v>0</v>
      </c>
    </row>
    <row r="336" spans="1:2" x14ac:dyDescent="0.25">
      <c r="A336" s="12" t="s">
        <v>645</v>
      </c>
      <c r="B336">
        <f>VLOOKUP(A336,[1]Pesos!$A:$E,5,0)</f>
        <v>0</v>
      </c>
    </row>
    <row r="337" spans="1:2" x14ac:dyDescent="0.25">
      <c r="A337" s="12" t="s">
        <v>647</v>
      </c>
      <c r="B337" t="e">
        <f>VLOOKUP(A337,[1]Pesos!$A:$E,5,0)</f>
        <v>#N/A</v>
      </c>
    </row>
    <row r="338" spans="1:2" x14ac:dyDescent="0.25">
      <c r="A338" s="12" t="s">
        <v>649</v>
      </c>
      <c r="B338" t="e">
        <f>VLOOKUP(A338,[1]Pesos!$A:$E,5,0)</f>
        <v>#N/A</v>
      </c>
    </row>
    <row r="339" spans="1:2" x14ac:dyDescent="0.25">
      <c r="A339" s="12" t="s">
        <v>651</v>
      </c>
      <c r="B339" t="e">
        <f>VLOOKUP(A339,[1]Pesos!$A:$E,5,0)</f>
        <v>#N/A</v>
      </c>
    </row>
    <row r="340" spans="1:2" x14ac:dyDescent="0.25">
      <c r="A340" s="12" t="s">
        <v>653</v>
      </c>
      <c r="B340" t="e">
        <f>VLOOKUP(A340,[1]Pesos!$A:$E,5,0)</f>
        <v>#N/A</v>
      </c>
    </row>
    <row r="341" spans="1:2" x14ac:dyDescent="0.25">
      <c r="A341" s="12" t="s">
        <v>655</v>
      </c>
      <c r="B341" t="e">
        <f>VLOOKUP(A341,[1]Pesos!$A:$E,5,0)</f>
        <v>#N/A</v>
      </c>
    </row>
    <row r="342" spans="1:2" x14ac:dyDescent="0.25">
      <c r="A342" s="12" t="s">
        <v>657</v>
      </c>
      <c r="B342" t="e">
        <f>VLOOKUP(A342,[1]Pesos!$A:$E,5,0)</f>
        <v>#N/A</v>
      </c>
    </row>
    <row r="343" spans="1:2" x14ac:dyDescent="0.25">
      <c r="A343" s="12" t="s">
        <v>659</v>
      </c>
      <c r="B343" t="e">
        <f>VLOOKUP(A343,[1]Pesos!$A:$E,5,0)</f>
        <v>#N/A</v>
      </c>
    </row>
    <row r="344" spans="1:2" x14ac:dyDescent="0.25">
      <c r="B344">
        <f>VLOOKUP(A344,[1]Pesos!$A:$E,5,0)</f>
        <v>0</v>
      </c>
    </row>
    <row r="345" spans="1:2" x14ac:dyDescent="0.25">
      <c r="A345" t="s">
        <v>666</v>
      </c>
      <c r="B345">
        <f>VLOOKUP(A345,[1]Pesos!$A:$E,5,0)</f>
        <v>125</v>
      </c>
    </row>
    <row r="346" spans="1:2" x14ac:dyDescent="0.25">
      <c r="A346" t="s">
        <v>668</v>
      </c>
      <c r="B346">
        <f>VLOOKUP(A346,[1]Pesos!$A:$E,5,0)</f>
        <v>35</v>
      </c>
    </row>
    <row r="347" spans="1:2" x14ac:dyDescent="0.25">
      <c r="A347" t="s">
        <v>670</v>
      </c>
      <c r="B347">
        <f>VLOOKUP(A347,[1]Pesos!$A:$E,5,0)</f>
        <v>40</v>
      </c>
    </row>
    <row r="348" spans="1:2" x14ac:dyDescent="0.25">
      <c r="A348" t="s">
        <v>672</v>
      </c>
      <c r="B348">
        <f>VLOOKUP(A348,[1]Pesos!$A:$E,5,0)</f>
        <v>18</v>
      </c>
    </row>
    <row r="349" spans="1:2" x14ac:dyDescent="0.25">
      <c r="A349" t="s">
        <v>674</v>
      </c>
      <c r="B349">
        <f>VLOOKUP(A349,[1]Pesos!$A:$E,5,0)</f>
        <v>0</v>
      </c>
    </row>
    <row r="350" spans="1:2" x14ac:dyDescent="0.25">
      <c r="A350" t="s">
        <v>676</v>
      </c>
      <c r="B350">
        <f>VLOOKUP(A350,[1]Pesos!$A:$E,5,0)</f>
        <v>0</v>
      </c>
    </row>
    <row r="351" spans="1:2" x14ac:dyDescent="0.25">
      <c r="A351" t="s">
        <v>678</v>
      </c>
      <c r="B351">
        <f>VLOOKUP(A351,[1]Pesos!$A:$E,5,0)</f>
        <v>0</v>
      </c>
    </row>
    <row r="352" spans="1:2" x14ac:dyDescent="0.25">
      <c r="A352" t="s">
        <v>680</v>
      </c>
      <c r="B352" t="e">
        <f>VLOOKUP(A352,[1]Pesos!$A:$E,5,0)</f>
        <v>#N/A</v>
      </c>
    </row>
    <row r="353" spans="1:2" x14ac:dyDescent="0.25">
      <c r="A353" t="s">
        <v>682</v>
      </c>
      <c r="B353">
        <f>VLOOKUP(A353,[1]Pesos!$A:$E,5,0)</f>
        <v>0</v>
      </c>
    </row>
    <row r="354" spans="1:2" x14ac:dyDescent="0.25">
      <c r="A354" t="s">
        <v>684</v>
      </c>
      <c r="B354">
        <f>VLOOKUP(A354,[1]Pesos!$A:$E,5,0)</f>
        <v>0</v>
      </c>
    </row>
    <row r="355" spans="1:2" x14ac:dyDescent="0.25">
      <c r="A355" t="s">
        <v>686</v>
      </c>
      <c r="B355">
        <f>VLOOKUP(A355,[1]Pesos!$A:$E,5,0)</f>
        <v>0</v>
      </c>
    </row>
    <row r="356" spans="1:2" x14ac:dyDescent="0.25">
      <c r="A356" t="s">
        <v>688</v>
      </c>
      <c r="B356">
        <f>VLOOKUP(A356,[1]Pesos!$A:$E,5,0)</f>
        <v>0</v>
      </c>
    </row>
    <row r="357" spans="1:2" x14ac:dyDescent="0.25">
      <c r="A357" t="s">
        <v>690</v>
      </c>
      <c r="B357" t="e">
        <f>VLOOKUP(A357,[1]Pesos!$A:$E,5,0)</f>
        <v>#N/A</v>
      </c>
    </row>
    <row r="358" spans="1:2" x14ac:dyDescent="0.25">
      <c r="A358" t="s">
        <v>692</v>
      </c>
      <c r="B358" t="e">
        <f>VLOOKUP(A358,[1]Pesos!$A:$E,5,0)</f>
        <v>#N/A</v>
      </c>
    </row>
    <row r="359" spans="1:2" x14ac:dyDescent="0.25">
      <c r="A359" t="s">
        <v>694</v>
      </c>
      <c r="B359" t="e">
        <f>VLOOKUP(A359,[1]Pesos!$A:$E,5,0)</f>
        <v>#N/A</v>
      </c>
    </row>
    <row r="360" spans="1:2" x14ac:dyDescent="0.25">
      <c r="A360" t="s">
        <v>696</v>
      </c>
      <c r="B360" t="e">
        <f>VLOOKUP(A360,[1]Pesos!$A:$E,5,0)</f>
        <v>#N/A</v>
      </c>
    </row>
    <row r="361" spans="1:2" x14ac:dyDescent="0.25">
      <c r="A361" t="s">
        <v>698</v>
      </c>
      <c r="B361" t="e">
        <f>VLOOKUP(A361,[1]Pesos!$A:$E,5,0)</f>
        <v>#N/A</v>
      </c>
    </row>
    <row r="362" spans="1:2" x14ac:dyDescent="0.25">
      <c r="A362" t="s">
        <v>700</v>
      </c>
      <c r="B362" t="e">
        <f>VLOOKUP(A362,[1]Pesos!$A:$E,5,0)</f>
        <v>#N/A</v>
      </c>
    </row>
    <row r="363" spans="1:2" x14ac:dyDescent="0.25">
      <c r="A363" t="s">
        <v>702</v>
      </c>
      <c r="B363" t="e">
        <f>VLOOKUP(A363,[1]Pesos!$A:$E,5,0)</f>
        <v>#N/A</v>
      </c>
    </row>
    <row r="364" spans="1:2" x14ac:dyDescent="0.25">
      <c r="A364" t="s">
        <v>704</v>
      </c>
      <c r="B364" t="e">
        <f>VLOOKUP(A364,[1]Pesos!$A:$E,5,0)</f>
        <v>#N/A</v>
      </c>
    </row>
    <row r="365" spans="1:2" x14ac:dyDescent="0.25">
      <c r="A365" t="s">
        <v>706</v>
      </c>
      <c r="B365" t="e">
        <f>VLOOKUP(A365,[1]Pesos!$A:$E,5,0)</f>
        <v>#N/A</v>
      </c>
    </row>
    <row r="366" spans="1:2" x14ac:dyDescent="0.25">
      <c r="A366" t="s">
        <v>708</v>
      </c>
      <c r="B366" t="e">
        <f>VLOOKUP(A366,[1]Pesos!$A:$E,5,0)</f>
        <v>#N/A</v>
      </c>
    </row>
    <row r="367" spans="1:2" x14ac:dyDescent="0.25">
      <c r="A367" t="s">
        <v>710</v>
      </c>
      <c r="B367" t="e">
        <f>VLOOKUP(A367,[1]Pesos!$A:$E,5,0)</f>
        <v>#N/A</v>
      </c>
    </row>
    <row r="368" spans="1:2" x14ac:dyDescent="0.25">
      <c r="B368">
        <f>VLOOKUP(A368,[1]Pesos!$A:$E,5,0)</f>
        <v>0</v>
      </c>
    </row>
    <row r="369" spans="1:2" x14ac:dyDescent="0.25">
      <c r="A369" t="s">
        <v>712</v>
      </c>
      <c r="B369" t="e">
        <f>VLOOKUP(A369,[1]Pesos!$A:$E,5,0)</f>
        <v>#N/A</v>
      </c>
    </row>
    <row r="370" spans="1:2" x14ac:dyDescent="0.25">
      <c r="A370" t="s">
        <v>713</v>
      </c>
      <c r="B370" t="e">
        <f>VLOOKUP(A370,[1]Pesos!$A:$E,5,0)</f>
        <v>#N/A</v>
      </c>
    </row>
    <row r="371" spans="1:2" x14ac:dyDescent="0.25">
      <c r="A371" t="s">
        <v>714</v>
      </c>
      <c r="B371" t="e">
        <f>VLOOKUP(A371,[1]Pesos!$A:$E,5,0)</f>
        <v>#N/A</v>
      </c>
    </row>
    <row r="372" spans="1:2" x14ac:dyDescent="0.25">
      <c r="A372" t="s">
        <v>715</v>
      </c>
      <c r="B372" t="e">
        <f>VLOOKUP(A372,[1]Pesos!$A:$E,5,0)</f>
        <v>#N/A</v>
      </c>
    </row>
    <row r="373" spans="1:2" x14ac:dyDescent="0.25">
      <c r="A373" t="s">
        <v>716</v>
      </c>
      <c r="B373">
        <f>VLOOKUP(A373,[1]Pesos!$A:$E,5,0)</f>
        <v>0</v>
      </c>
    </row>
    <row r="374" spans="1:2" x14ac:dyDescent="0.25">
      <c r="A374" t="s">
        <v>717</v>
      </c>
      <c r="B374">
        <f>VLOOKUP(A374,[1]Pesos!$A:$E,5,0)</f>
        <v>5</v>
      </c>
    </row>
    <row r="375" spans="1:2" x14ac:dyDescent="0.25">
      <c r="A375" t="s">
        <v>718</v>
      </c>
      <c r="B375">
        <f>VLOOKUP(A375,[1]Pesos!$A:$E,5,0)</f>
        <v>0</v>
      </c>
    </row>
    <row r="376" spans="1:2" x14ac:dyDescent="0.25">
      <c r="A376" t="s">
        <v>719</v>
      </c>
      <c r="B376">
        <f>VLOOKUP(A376,[1]Pesos!$A:$E,5,0)</f>
        <v>10</v>
      </c>
    </row>
    <row r="377" spans="1:2" x14ac:dyDescent="0.25">
      <c r="A377" t="s">
        <v>720</v>
      </c>
      <c r="B377">
        <f>VLOOKUP(A377,[1]Pesos!$A:$E,5,0)</f>
        <v>11</v>
      </c>
    </row>
    <row r="378" spans="1:2" x14ac:dyDescent="0.25">
      <c r="A378" t="s">
        <v>721</v>
      </c>
      <c r="B378">
        <f>VLOOKUP(A378,[1]Pesos!$A:$E,5,0)</f>
        <v>11</v>
      </c>
    </row>
    <row r="379" spans="1:2" x14ac:dyDescent="0.25">
      <c r="A379" t="s">
        <v>722</v>
      </c>
      <c r="B379">
        <f>VLOOKUP(A379,[1]Pesos!$A:$E,5,0)</f>
        <v>11</v>
      </c>
    </row>
    <row r="380" spans="1:2" x14ac:dyDescent="0.25">
      <c r="A380" t="s">
        <v>723</v>
      </c>
      <c r="B380">
        <f>VLOOKUP(A380,[1]Pesos!$A:$E,5,0)</f>
        <v>150</v>
      </c>
    </row>
    <row r="381" spans="1:2" x14ac:dyDescent="0.25">
      <c r="A381" t="s">
        <v>724</v>
      </c>
      <c r="B381">
        <f>VLOOKUP(A381,[1]Pesos!$A:$E,5,0)</f>
        <v>10</v>
      </c>
    </row>
    <row r="382" spans="1:2" x14ac:dyDescent="0.25">
      <c r="A382" t="s">
        <v>725</v>
      </c>
      <c r="B382">
        <f>VLOOKUP(A382,[1]Pesos!$A:$E,5,0)</f>
        <v>12</v>
      </c>
    </row>
    <row r="383" spans="1:2" x14ac:dyDescent="0.25">
      <c r="A383" t="s">
        <v>726</v>
      </c>
      <c r="B383">
        <f>VLOOKUP(A383,[1]Pesos!$A:$E,5,0)</f>
        <v>0</v>
      </c>
    </row>
    <row r="384" spans="1:2" x14ac:dyDescent="0.25">
      <c r="A384" t="s">
        <v>727</v>
      </c>
      <c r="B384">
        <f>VLOOKUP(A384,[1]Pesos!$A:$E,5,0)</f>
        <v>0</v>
      </c>
    </row>
    <row r="385" spans="1:2" x14ac:dyDescent="0.25">
      <c r="A385" t="s">
        <v>728</v>
      </c>
      <c r="B385">
        <f>VLOOKUP(A385,[1]Pesos!$A:$E,5,0)</f>
        <v>0</v>
      </c>
    </row>
    <row r="386" spans="1:2" x14ac:dyDescent="0.25">
      <c r="A386" t="s">
        <v>729</v>
      </c>
      <c r="B386">
        <f>VLOOKUP(A386,[1]Pesos!$A:$E,5,0)</f>
        <v>0</v>
      </c>
    </row>
    <row r="387" spans="1:2" x14ac:dyDescent="0.25">
      <c r="A387" t="s">
        <v>730</v>
      </c>
      <c r="B387">
        <f>VLOOKUP(A387,[1]Pesos!$A:$E,5,0)</f>
        <v>0</v>
      </c>
    </row>
    <row r="388" spans="1:2" x14ac:dyDescent="0.25">
      <c r="A388" t="s">
        <v>731</v>
      </c>
      <c r="B388" t="e">
        <f>VLOOKUP(A388,[1]Pesos!$A:$E,5,0)</f>
        <v>#N/A</v>
      </c>
    </row>
    <row r="389" spans="1:2" x14ac:dyDescent="0.25">
      <c r="A389" t="s">
        <v>732</v>
      </c>
      <c r="B389" t="e">
        <f>VLOOKUP(A389,[1]Pesos!$A:$E,5,0)</f>
        <v>#N/A</v>
      </c>
    </row>
    <row r="390" spans="1:2" x14ac:dyDescent="0.25">
      <c r="A390" t="s">
        <v>733</v>
      </c>
      <c r="B390">
        <f>VLOOKUP(A390,[1]Pesos!$A:$E,5,0)</f>
        <v>0</v>
      </c>
    </row>
    <row r="391" spans="1:2" x14ac:dyDescent="0.25">
      <c r="A391" t="s">
        <v>734</v>
      </c>
      <c r="B391">
        <f>VLOOKUP(A391,[1]Pesos!$A:$E,5,0)</f>
        <v>0</v>
      </c>
    </row>
    <row r="392" spans="1:2" x14ac:dyDescent="0.25">
      <c r="A392" t="s">
        <v>735</v>
      </c>
      <c r="B392">
        <f>VLOOKUP(A392,[1]Pesos!$A:$E,5,0)</f>
        <v>10</v>
      </c>
    </row>
    <row r="393" spans="1:2" x14ac:dyDescent="0.25">
      <c r="A393" t="s">
        <v>736</v>
      </c>
      <c r="B393">
        <f>VLOOKUP(A393,[1]Pesos!$A:$E,5,0)</f>
        <v>0</v>
      </c>
    </row>
    <row r="394" spans="1:2" x14ac:dyDescent="0.25">
      <c r="A394" t="s">
        <v>737</v>
      </c>
      <c r="B394">
        <f>VLOOKUP(A394,[1]Pesos!$A:$E,5,0)</f>
        <v>10</v>
      </c>
    </row>
    <row r="395" spans="1:2" x14ac:dyDescent="0.25">
      <c r="A395" t="s">
        <v>738</v>
      </c>
      <c r="B395">
        <f>VLOOKUP(A395,[1]Pesos!$A:$E,5,0)</f>
        <v>0</v>
      </c>
    </row>
    <row r="396" spans="1:2" x14ac:dyDescent="0.25">
      <c r="A396" t="s">
        <v>739</v>
      </c>
      <c r="B396">
        <f>VLOOKUP(A396,[1]Pesos!$A:$E,5,0)</f>
        <v>26</v>
      </c>
    </row>
    <row r="397" spans="1:2" x14ac:dyDescent="0.25">
      <c r="A397" t="s">
        <v>740</v>
      </c>
      <c r="B397">
        <f>VLOOKUP(A397,[1]Pesos!$A:$E,5,0)</f>
        <v>8</v>
      </c>
    </row>
    <row r="398" spans="1:2" x14ac:dyDescent="0.25">
      <c r="A398" t="s">
        <v>741</v>
      </c>
      <c r="B398">
        <f>VLOOKUP(A398,[1]Pesos!$A:$E,5,0)</f>
        <v>0</v>
      </c>
    </row>
    <row r="399" spans="1:2" x14ac:dyDescent="0.25">
      <c r="A399" t="s">
        <v>742</v>
      </c>
      <c r="B399">
        <f>VLOOKUP(A399,[1]Pesos!$A:$E,5,0)</f>
        <v>0</v>
      </c>
    </row>
    <row r="400" spans="1:2" x14ac:dyDescent="0.25">
      <c r="A400" t="s">
        <v>743</v>
      </c>
      <c r="B400">
        <f>VLOOKUP(A400,[1]Pesos!$A:$E,5,0)</f>
        <v>0</v>
      </c>
    </row>
    <row r="401" spans="1:2" x14ac:dyDescent="0.25">
      <c r="A401" t="s">
        <v>744</v>
      </c>
      <c r="B401">
        <f>VLOOKUP(A401,[1]Pesos!$A:$E,5,0)</f>
        <v>0</v>
      </c>
    </row>
    <row r="402" spans="1:2" x14ac:dyDescent="0.25">
      <c r="A402" t="s">
        <v>745</v>
      </c>
      <c r="B402" t="e">
        <f>VLOOKUP(A402,[1]Pesos!$A:$E,5,0)</f>
        <v>#N/A</v>
      </c>
    </row>
    <row r="403" spans="1:2" x14ac:dyDescent="0.25">
      <c r="A403" t="s">
        <v>746</v>
      </c>
      <c r="B403" t="e">
        <f>VLOOKUP(A403,[1]Pesos!$A:$E,5,0)</f>
        <v>#N/A</v>
      </c>
    </row>
    <row r="404" spans="1:2" x14ac:dyDescent="0.25">
      <c r="A404" t="s">
        <v>747</v>
      </c>
      <c r="B404">
        <f>VLOOKUP(A404,[1]Pesos!$A:$E,5,0)</f>
        <v>0</v>
      </c>
    </row>
    <row r="405" spans="1:2" x14ac:dyDescent="0.25">
      <c r="A405" t="s">
        <v>748</v>
      </c>
      <c r="B405">
        <f>VLOOKUP(A405,[1]Pesos!$A:$E,5,0)</f>
        <v>0</v>
      </c>
    </row>
    <row r="406" spans="1:2" x14ac:dyDescent="0.25">
      <c r="A406" t="s">
        <v>752</v>
      </c>
      <c r="B406">
        <f>VLOOKUP(A406,[1]Pesos!$A:$E,5,0)</f>
        <v>0</v>
      </c>
    </row>
    <row r="407" spans="1:2" x14ac:dyDescent="0.25">
      <c r="A407" t="s">
        <v>754</v>
      </c>
      <c r="B407">
        <f>VLOOKUP(A407,[1]Pesos!$A:$E,5,0)</f>
        <v>0</v>
      </c>
    </row>
    <row r="408" spans="1:2" x14ac:dyDescent="0.25">
      <c r="A408" t="s">
        <v>756</v>
      </c>
      <c r="B408">
        <f>VLOOKUP(A408,[1]Pesos!$A:$E,5,0)</f>
        <v>0</v>
      </c>
    </row>
    <row r="409" spans="1:2" x14ac:dyDescent="0.25">
      <c r="A409" t="s">
        <v>758</v>
      </c>
      <c r="B409">
        <f>VLOOKUP(A409,[1]Pesos!$A:$E,5,0)</f>
        <v>16</v>
      </c>
    </row>
    <row r="410" spans="1:2" x14ac:dyDescent="0.25">
      <c r="A410" t="s">
        <v>760</v>
      </c>
      <c r="B410">
        <f>VLOOKUP(A410,[1]Pesos!$A:$E,5,0)</f>
        <v>10</v>
      </c>
    </row>
    <row r="411" spans="1:2" x14ac:dyDescent="0.25">
      <c r="A411" t="s">
        <v>762</v>
      </c>
      <c r="B411">
        <f>VLOOKUP(A411,[1]Pesos!$A:$E,5,0)</f>
        <v>16</v>
      </c>
    </row>
    <row r="412" spans="1:2" x14ac:dyDescent="0.25">
      <c r="A412" t="s">
        <v>764</v>
      </c>
      <c r="B412">
        <f>VLOOKUP(A412,[1]Pesos!$A:$E,5,0)</f>
        <v>0</v>
      </c>
    </row>
    <row r="413" spans="1:2" x14ac:dyDescent="0.25">
      <c r="A413" t="s">
        <v>766</v>
      </c>
      <c r="B413" t="e">
        <f>VLOOKUP(A413,[1]Pesos!$A:$E,5,0)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CostoUSA</vt:lpstr>
      <vt:lpstr>Weights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Garcia</dc:creator>
  <cp:lastModifiedBy>Matias Garcia</cp:lastModifiedBy>
  <dcterms:created xsi:type="dcterms:W3CDTF">2025-11-22T13:51:09Z</dcterms:created>
  <dcterms:modified xsi:type="dcterms:W3CDTF">2025-11-23T17:22:49Z</dcterms:modified>
</cp:coreProperties>
</file>